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5.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6.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hidePivotFieldList="1"/>
  <mc:AlternateContent xmlns:mc="http://schemas.openxmlformats.org/markup-compatibility/2006">
    <mc:Choice Requires="x15">
      <x15ac:absPath xmlns:x15ac="http://schemas.microsoft.com/office/spreadsheetml/2010/11/ac" url="C:\Users\matte\Desktop\nMatteo\Ricerca\PUBLICATIONS\[] IVIR Paper\dataset\"/>
    </mc:Choice>
  </mc:AlternateContent>
  <xr:revisionPtr revIDLastSave="0" documentId="13_ncr:1_{B035275B-3FAA-4E65-A886-B666728F7178}" xr6:coauthVersionLast="47" xr6:coauthVersionMax="47" xr10:uidLastSave="{00000000-0000-0000-0000-000000000000}"/>
  <bookViews>
    <workbookView xWindow="-110" yWindow="-110" windowWidth="19420" windowHeight="10300" activeTab="6" xr2:uid="{00000000-000D-0000-FFFF-FFFF00000000}"/>
  </bookViews>
  <sheets>
    <sheet name="Figure 1" sheetId="14" r:id="rId1"/>
    <sheet name="Figure 2" sheetId="13" r:id="rId2"/>
    <sheet name="Figure 3" sheetId="16" r:id="rId3"/>
    <sheet name="Figure 4" sheetId="15" r:id="rId4"/>
    <sheet name="Figure 5" sheetId="17" r:id="rId5"/>
    <sheet name="Figures_all" sheetId="18" r:id="rId6"/>
    <sheet name="DISs" sheetId="12" r:id="rId7"/>
  </sheets>
  <definedNames>
    <definedName name="_xlnm._FilterDatabase" localSheetId="6" hidden="1">DISs!$A$3:$Y$71</definedName>
    <definedName name="OLE_LINK1" localSheetId="6">DISs!#REF!</definedName>
  </definedNames>
  <calcPr calcId="191029"/>
  <pivotCaches>
    <pivotCache cacheId="0"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12" l="1"/>
  <c r="E3" i="12"/>
  <c r="E4" i="12"/>
  <c r="E5" i="12"/>
  <c r="E6" i="12"/>
  <c r="E7" i="12"/>
  <c r="E8" i="12"/>
  <c r="E9" i="12"/>
  <c r="B30" i="18" s="1"/>
  <c r="E10" i="12"/>
  <c r="E11" i="12"/>
  <c r="E12" i="12"/>
  <c r="E13" i="12"/>
  <c r="E14" i="12"/>
  <c r="E15" i="12"/>
  <c r="E16" i="12"/>
  <c r="E17" i="12"/>
  <c r="E18" i="12"/>
  <c r="E19" i="12"/>
  <c r="E20" i="12"/>
  <c r="E21" i="12"/>
  <c r="E22" i="12"/>
  <c r="E23" i="12"/>
  <c r="E24" i="12"/>
  <c r="E25" i="12"/>
  <c r="E26" i="12"/>
  <c r="E27" i="12"/>
  <c r="E28" i="12"/>
  <c r="E29" i="12"/>
  <c r="E30" i="12"/>
  <c r="E31" i="12"/>
  <c r="E32" i="12"/>
  <c r="E33" i="12"/>
  <c r="E34" i="12"/>
  <c r="E35" i="12"/>
  <c r="E36" i="12"/>
  <c r="E37" i="12"/>
  <c r="E38" i="12"/>
  <c r="E39" i="12"/>
  <c r="E40" i="12"/>
  <c r="E41" i="12"/>
  <c r="E42" i="12"/>
  <c r="E43" i="12"/>
  <c r="E44" i="12"/>
  <c r="E45" i="12"/>
  <c r="E46" i="12"/>
  <c r="E47" i="12"/>
  <c r="E48" i="12"/>
  <c r="E49" i="12"/>
  <c r="E50" i="12"/>
  <c r="E51" i="12"/>
  <c r="E52" i="12"/>
  <c r="E53" i="12"/>
  <c r="E54" i="12"/>
  <c r="E55" i="12"/>
  <c r="B31" i="18"/>
  <c r="B19" i="18"/>
  <c r="B18" i="18"/>
  <c r="B17" i="18"/>
  <c r="B15" i="18"/>
  <c r="B14" i="18"/>
  <c r="B13" i="18"/>
  <c r="O4" i="18"/>
  <c r="N4" i="18"/>
  <c r="L4" i="18"/>
  <c r="J4" i="18"/>
  <c r="K4" i="18" s="1"/>
  <c r="H4" i="18"/>
  <c r="I4" i="18" s="1"/>
  <c r="F4" i="18"/>
  <c r="G4" i="18" s="1"/>
  <c r="D4" i="18"/>
  <c r="E4" i="18" s="1"/>
  <c r="B4" i="18"/>
  <c r="C4" i="18" s="1"/>
  <c r="O3" i="18"/>
  <c r="N3" i="18"/>
  <c r="L3" i="18"/>
  <c r="M3" i="18" s="1"/>
  <c r="J3" i="18"/>
  <c r="K3" i="18" s="1"/>
  <c r="H3" i="18"/>
  <c r="I3" i="18" s="1"/>
  <c r="F3" i="18"/>
  <c r="G3" i="18" s="1"/>
  <c r="D3" i="18"/>
  <c r="E3" i="18" s="1"/>
  <c r="B3" i="18"/>
  <c r="C3" i="18" s="1"/>
  <c r="O2" i="18"/>
  <c r="N2" i="18"/>
  <c r="L2" i="18"/>
  <c r="M2" i="18" s="1"/>
  <c r="J2" i="18"/>
  <c r="K2" i="18" s="1"/>
  <c r="H2" i="18"/>
  <c r="I2" i="18" s="1"/>
  <c r="F2" i="18"/>
  <c r="G2" i="18" s="1"/>
  <c r="D2" i="18"/>
  <c r="E2" i="18" s="1"/>
  <c r="B2" i="18"/>
  <c r="C2" i="18" s="1"/>
  <c r="B27" i="17"/>
  <c r="B19" i="17"/>
  <c r="B18" i="17"/>
  <c r="B17" i="17"/>
  <c r="B15" i="17"/>
  <c r="B14" i="17"/>
  <c r="B13" i="17"/>
  <c r="O4" i="17"/>
  <c r="N4" i="17"/>
  <c r="L4" i="17"/>
  <c r="M4" i="17" s="1"/>
  <c r="J4" i="17"/>
  <c r="K4" i="17" s="1"/>
  <c r="H4" i="17"/>
  <c r="F4" i="17"/>
  <c r="G4" i="17" s="1"/>
  <c r="D4" i="17"/>
  <c r="E4" i="17" s="1"/>
  <c r="B4" i="17"/>
  <c r="C4" i="17" s="1"/>
  <c r="O3" i="17"/>
  <c r="N3" i="17"/>
  <c r="L3" i="17"/>
  <c r="J3" i="17"/>
  <c r="K3" i="17" s="1"/>
  <c r="H3" i="17"/>
  <c r="F3" i="17"/>
  <c r="G3" i="17" s="1"/>
  <c r="D3" i="17"/>
  <c r="E3" i="17" s="1"/>
  <c r="B3" i="17"/>
  <c r="C3" i="17" s="1"/>
  <c r="O2" i="17"/>
  <c r="N2" i="17"/>
  <c r="L2" i="17"/>
  <c r="J2" i="17"/>
  <c r="K2" i="17" s="1"/>
  <c r="H2" i="17"/>
  <c r="F2" i="17"/>
  <c r="G2" i="17" s="1"/>
  <c r="D2" i="17"/>
  <c r="E2" i="17" s="1"/>
  <c r="B2" i="17"/>
  <c r="C2" i="17" s="1"/>
  <c r="B32" i="16"/>
  <c r="B19" i="16"/>
  <c r="B18" i="16"/>
  <c r="B17" i="16"/>
  <c r="B15" i="16"/>
  <c r="B14" i="16"/>
  <c r="B13" i="16"/>
  <c r="O4" i="16"/>
  <c r="N4" i="16"/>
  <c r="L4" i="16"/>
  <c r="M4" i="16" s="1"/>
  <c r="J4" i="16"/>
  <c r="K4" i="16" s="1"/>
  <c r="H4" i="16"/>
  <c r="I4" i="16" s="1"/>
  <c r="F4" i="16"/>
  <c r="G4" i="16" s="1"/>
  <c r="D4" i="16"/>
  <c r="B4" i="16"/>
  <c r="C4" i="16" s="1"/>
  <c r="O3" i="16"/>
  <c r="N3" i="16"/>
  <c r="L3" i="16"/>
  <c r="J3" i="16"/>
  <c r="K3" i="16" s="1"/>
  <c r="H3" i="16"/>
  <c r="I3" i="16" s="1"/>
  <c r="F3" i="16"/>
  <c r="G3" i="16" s="1"/>
  <c r="D3" i="16"/>
  <c r="B3" i="16"/>
  <c r="C3" i="16" s="1"/>
  <c r="O2" i="16"/>
  <c r="N2" i="16"/>
  <c r="L2" i="16"/>
  <c r="J2" i="16"/>
  <c r="K2" i="16" s="1"/>
  <c r="H2" i="16"/>
  <c r="I2" i="16" s="1"/>
  <c r="F2" i="16"/>
  <c r="G2" i="16" s="1"/>
  <c r="D2" i="16"/>
  <c r="B2" i="16"/>
  <c r="C2" i="16" s="1"/>
  <c r="B31" i="15"/>
  <c r="B29" i="15"/>
  <c r="B28" i="15"/>
  <c r="B19" i="15"/>
  <c r="B18" i="15"/>
  <c r="B17" i="15"/>
  <c r="B15" i="15"/>
  <c r="B14" i="15"/>
  <c r="B13" i="15"/>
  <c r="O4" i="15"/>
  <c r="N4" i="15"/>
  <c r="L4" i="15"/>
  <c r="M4" i="15" s="1"/>
  <c r="J4" i="15"/>
  <c r="H4" i="15"/>
  <c r="I4" i="15" s="1"/>
  <c r="F4" i="15"/>
  <c r="G4" i="15" s="1"/>
  <c r="D4" i="15"/>
  <c r="B4" i="15"/>
  <c r="C4" i="15" s="1"/>
  <c r="O3" i="15"/>
  <c r="N3" i="15"/>
  <c r="L3" i="15"/>
  <c r="M3" i="15" s="1"/>
  <c r="J3" i="15"/>
  <c r="H3" i="15"/>
  <c r="I3" i="15" s="1"/>
  <c r="F3" i="15"/>
  <c r="G3" i="15" s="1"/>
  <c r="D3" i="15"/>
  <c r="B3" i="15"/>
  <c r="C3" i="15" s="1"/>
  <c r="O2" i="15"/>
  <c r="N2" i="15"/>
  <c r="L2" i="15"/>
  <c r="M2" i="15" s="1"/>
  <c r="J2" i="15"/>
  <c r="H2" i="15"/>
  <c r="I2" i="15" s="1"/>
  <c r="F2" i="15"/>
  <c r="G2" i="15" s="1"/>
  <c r="D2" i="15"/>
  <c r="B2" i="15"/>
  <c r="C2" i="15" s="1"/>
  <c r="J4" i="13"/>
  <c r="J3" i="13"/>
  <c r="J2" i="13"/>
  <c r="B13" i="13"/>
  <c r="E3" i="13"/>
  <c r="B15" i="13"/>
  <c r="B14" i="13"/>
  <c r="M3" i="13" s="1"/>
  <c r="B31" i="13"/>
  <c r="B32" i="13"/>
  <c r="B19" i="13"/>
  <c r="O4" i="13"/>
  <c r="O3" i="13"/>
  <c r="O2" i="13"/>
  <c r="N4" i="13"/>
  <c r="N3" i="13"/>
  <c r="N2" i="13"/>
  <c r="L4" i="13"/>
  <c r="M4" i="13" s="1"/>
  <c r="L3" i="13"/>
  <c r="L2" i="13"/>
  <c r="B18" i="13"/>
  <c r="B17" i="13"/>
  <c r="H4" i="13"/>
  <c r="H3" i="13"/>
  <c r="H2" i="13"/>
  <c r="F4" i="13"/>
  <c r="G4" i="13" s="1"/>
  <c r="F3" i="13"/>
  <c r="F2" i="13"/>
  <c r="D4" i="13"/>
  <c r="E4" i="13" s="1"/>
  <c r="D3" i="13"/>
  <c r="D2" i="13"/>
  <c r="E2" i="13" s="1"/>
  <c r="B2" i="13"/>
  <c r="C2" i="13" s="1"/>
  <c r="B3" i="13"/>
  <c r="C3" i="13" s="1"/>
  <c r="B4" i="13"/>
  <c r="C4" i="13" s="1"/>
  <c r="E2" i="15" l="1"/>
  <c r="E3" i="15"/>
  <c r="E4" i="15"/>
  <c r="B30" i="15"/>
  <c r="M2" i="16"/>
  <c r="M3" i="16"/>
  <c r="B28" i="17"/>
  <c r="B32" i="18"/>
  <c r="B29" i="17"/>
  <c r="G2" i="13"/>
  <c r="B27" i="16"/>
  <c r="B30" i="17"/>
  <c r="M4" i="18"/>
  <c r="B32" i="15"/>
  <c r="G3" i="13"/>
  <c r="K2" i="13"/>
  <c r="K2" i="15"/>
  <c r="K3" i="15"/>
  <c r="K4" i="15"/>
  <c r="B28" i="16"/>
  <c r="I2" i="17"/>
  <c r="I3" i="17"/>
  <c r="I4" i="17"/>
  <c r="B31" i="17"/>
  <c r="B27" i="18"/>
  <c r="E2" i="16"/>
  <c r="E3" i="16"/>
  <c r="E4" i="16"/>
  <c r="B29" i="16"/>
  <c r="B32" i="17"/>
  <c r="B28" i="18"/>
  <c r="B27" i="15"/>
  <c r="B30" i="16"/>
  <c r="M2" i="17"/>
  <c r="M3" i="17"/>
  <c r="B29" i="18"/>
  <c r="B31" i="16"/>
  <c r="K4" i="13"/>
  <c r="M2" i="13"/>
  <c r="K3" i="13"/>
  <c r="B28" i="13"/>
  <c r="B30" i="13"/>
  <c r="B27" i="13"/>
  <c r="B29" i="13"/>
  <c r="I2" i="13"/>
  <c r="I4" i="13"/>
  <c r="I3" i="13"/>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5">
    <bk>
      <extLst>
        <ext uri="{3e2802c4-a4d2-4d8b-9148-e3be6c30e623}">
          <xlrd:rvb i="0"/>
        </ext>
      </extLst>
    </bk>
    <bk>
      <extLst>
        <ext uri="{3e2802c4-a4d2-4d8b-9148-e3be6c30e623}">
          <xlrd:rvb i="72"/>
        </ext>
      </extLst>
    </bk>
    <bk>
      <extLst>
        <ext uri="{3e2802c4-a4d2-4d8b-9148-e3be6c30e623}">
          <xlrd:rvb i="132"/>
        </ext>
      </extLst>
    </bk>
    <bk>
      <extLst>
        <ext uri="{3e2802c4-a4d2-4d8b-9148-e3be6c30e623}">
          <xlrd:rvb i="183"/>
        </ext>
      </extLst>
    </bk>
    <bk>
      <extLst>
        <ext uri="{3e2802c4-a4d2-4d8b-9148-e3be6c30e623}">
          <xlrd:rvb i="232"/>
        </ext>
      </extLst>
    </bk>
    <bk>
      <extLst>
        <ext uri="{3e2802c4-a4d2-4d8b-9148-e3be6c30e623}">
          <xlrd:rvb i="335"/>
        </ext>
      </extLst>
    </bk>
    <bk>
      <extLst>
        <ext uri="{3e2802c4-a4d2-4d8b-9148-e3be6c30e623}">
          <xlrd:rvb i="422"/>
        </ext>
      </extLst>
    </bk>
    <bk>
      <extLst>
        <ext uri="{3e2802c4-a4d2-4d8b-9148-e3be6c30e623}">
          <xlrd:rvb i="676"/>
        </ext>
      </extLst>
    </bk>
    <bk>
      <extLst>
        <ext uri="{3e2802c4-a4d2-4d8b-9148-e3be6c30e623}">
          <xlrd:rvb i="736"/>
        </ext>
      </extLst>
    </bk>
    <bk>
      <extLst>
        <ext uri="{3e2802c4-a4d2-4d8b-9148-e3be6c30e623}">
          <xlrd:rvb i="787"/>
        </ext>
      </extLst>
    </bk>
    <bk>
      <extLst>
        <ext uri="{3e2802c4-a4d2-4d8b-9148-e3be6c30e623}">
          <xlrd:rvb i="851"/>
        </ext>
      </extLst>
    </bk>
    <bk>
      <extLst>
        <ext uri="{3e2802c4-a4d2-4d8b-9148-e3be6c30e623}">
          <xlrd:rvb i="914"/>
        </ext>
      </extLst>
    </bk>
    <bk>
      <extLst>
        <ext uri="{3e2802c4-a4d2-4d8b-9148-e3be6c30e623}">
          <xlrd:rvb i="1003"/>
        </ext>
      </extLst>
    </bk>
    <bk>
      <extLst>
        <ext uri="{3e2802c4-a4d2-4d8b-9148-e3be6c30e623}">
          <xlrd:rvb i="1058"/>
        </ext>
      </extLst>
    </bk>
    <bk>
      <extLst>
        <ext uri="{3e2802c4-a4d2-4d8b-9148-e3be6c30e623}">
          <xlrd:rvb i="1121"/>
        </ext>
      </extLst>
    </bk>
  </futureMetadata>
  <valueMetadata count="15">
    <bk>
      <rc t="1" v="0"/>
    </bk>
    <bk>
      <rc t="1" v="1"/>
    </bk>
    <bk>
      <rc t="1" v="2"/>
    </bk>
    <bk>
      <rc t="1" v="3"/>
    </bk>
    <bk>
      <rc t="1" v="4"/>
    </bk>
    <bk>
      <rc t="1" v="5"/>
    </bk>
    <bk>
      <rc t="1" v="6"/>
    </bk>
    <bk>
      <rc t="1" v="7"/>
    </bk>
    <bk>
      <rc t="1" v="8"/>
    </bk>
    <bk>
      <rc t="1" v="9"/>
    </bk>
    <bk>
      <rc t="1" v="10"/>
    </bk>
    <bk>
      <rc t="1" v="11"/>
    </bk>
    <bk>
      <rc t="1" v="12"/>
    </bk>
    <bk>
      <rc t="1" v="13"/>
    </bk>
    <bk>
      <rc t="1" v="14"/>
    </bk>
  </valueMetadata>
</metadata>
</file>

<file path=xl/sharedStrings.xml><?xml version="1.0" encoding="utf-8"?>
<sst xmlns="http://schemas.openxmlformats.org/spreadsheetml/2006/main" count="649" uniqueCount="205">
  <si>
    <t>country</t>
  </si>
  <si>
    <t>year_b</t>
  </si>
  <si>
    <t>year_e</t>
  </si>
  <si>
    <t>scope</t>
  </si>
  <si>
    <t>NGO</t>
  </si>
  <si>
    <t>Global</t>
  </si>
  <si>
    <t>Firm</t>
  </si>
  <si>
    <t>Digi.me</t>
  </si>
  <si>
    <t>State</t>
  </si>
  <si>
    <t>Regional</t>
  </si>
  <si>
    <t>iGrant</t>
  </si>
  <si>
    <t>Meeco</t>
  </si>
  <si>
    <t>Mydex</t>
  </si>
  <si>
    <t>Ockto</t>
  </si>
  <si>
    <t>OneCub</t>
  </si>
  <si>
    <t>QIY</t>
  </si>
  <si>
    <t>NGO-Firm</t>
  </si>
  <si>
    <t>Solid</t>
  </si>
  <si>
    <t>Streamr</t>
  </si>
  <si>
    <t>name</t>
  </si>
  <si>
    <t>United Kingdom</t>
  </si>
  <si>
    <t>Prifina</t>
  </si>
  <si>
    <t xml:space="preserve">https://www.prifina.com/core-concept.html </t>
  </si>
  <si>
    <t>https://www.dataswift.io/legal/legal</t>
  </si>
  <si>
    <t>https://www.hatcommunity.org/resources</t>
  </si>
  <si>
    <t>HAT</t>
  </si>
  <si>
    <t>iDataSwift</t>
  </si>
  <si>
    <t xml:space="preserve">https://opencommons.org/Dataswift </t>
  </si>
  <si>
    <t>Ivido</t>
  </si>
  <si>
    <t>Zodos</t>
  </si>
  <si>
    <t>Patients Know Best</t>
  </si>
  <si>
    <t>MIJNPGO</t>
  </si>
  <si>
    <t>Selfcare</t>
  </si>
  <si>
    <t>medxpert</t>
  </si>
  <si>
    <t>Quli</t>
  </si>
  <si>
    <t>Drimpy</t>
  </si>
  <si>
    <t>Gezondheidsmeter</t>
  </si>
  <si>
    <t>Uw Zorg online</t>
  </si>
  <si>
    <t>VitaalBank</t>
  </si>
  <si>
    <t>Medsafe</t>
  </si>
  <si>
    <t>Zorgdoc</t>
  </si>
  <si>
    <t>CGM LIFE</t>
  </si>
  <si>
    <t>https://www.meeco.me/meeco-whitepaper</t>
  </si>
  <si>
    <t>https://www.meeco.me/</t>
  </si>
  <si>
    <t>https://mydex.org/platform-services/#inclued</t>
  </si>
  <si>
    <t>https://igrant.io/</t>
  </si>
  <si>
    <t>https://solidproject.org/labs</t>
  </si>
  <si>
    <t>National</t>
  </si>
  <si>
    <t>https://ivido.nl/</t>
  </si>
  <si>
    <t>https://www.zodos.nl/</t>
  </si>
  <si>
    <t>https://patientsknowbest.com/about/</t>
  </si>
  <si>
    <t>https://mijnpgo.org/</t>
  </si>
  <si>
    <t>https://selfcare4me.com/selfcareresearch-real-world-data/</t>
  </si>
  <si>
    <t>https://selfcare4me.com/gezondheidsexperimenten-met-salut-voor-een-gezonder-nederland/</t>
  </si>
  <si>
    <t>https://www.medxpert.app/</t>
  </si>
  <si>
    <t>https://www.quli.nl/quli-voor-patientgroepen/</t>
  </si>
  <si>
    <t>https://www.drimpy.com/projecten/</t>
  </si>
  <si>
    <t>https://www.drimpy.com/projecten/mydigitwin/</t>
  </si>
  <si>
    <t>-</t>
  </si>
  <si>
    <t>https://www.gezondheidsmeter.nl/site/voor-zorgverleners</t>
  </si>
  <si>
    <t>https://uwzorgonline.nl/</t>
  </si>
  <si>
    <t>https://graydongo.nl/nl/nl-elektrotechniek-vitaalbank-bv-utrecht-86090593</t>
  </si>
  <si>
    <t>https://www.vitaalbank.nl/product/</t>
  </si>
  <si>
    <t>https://ishare.eu/about-ishare/benefits/for-data-owners/</t>
  </si>
  <si>
    <t>Dedicated access researchers</t>
  </si>
  <si>
    <t>Myfairdata</t>
  </si>
  <si>
    <t>https://myfairdata.com/</t>
  </si>
  <si>
    <t>Cozy</t>
  </si>
  <si>
    <t>Belgium</t>
  </si>
  <si>
    <t>Netherlands</t>
  </si>
  <si>
    <t>PolyPoly</t>
  </si>
  <si>
    <t>Germany</t>
  </si>
  <si>
    <t>https://polypoly-citizens.eu</t>
  </si>
  <si>
    <t>Bitsaboutme</t>
  </si>
  <si>
    <t>Denmark</t>
  </si>
  <si>
    <t>multi</t>
  </si>
  <si>
    <t>data</t>
  </si>
  <si>
    <t>CitizenMe</t>
  </si>
  <si>
    <t>https://www.citizenme.com/case-studies/gambling-and-the-fifa-world-cup-2022-part-1/</t>
  </si>
  <si>
    <t>Spain</t>
  </si>
  <si>
    <t>MyDataMood</t>
  </si>
  <si>
    <t>https://mydatamood.com</t>
  </si>
  <si>
    <t>Japan</t>
  </si>
  <si>
    <t>Personium</t>
  </si>
  <si>
    <t>https://personium.io</t>
  </si>
  <si>
    <t>Visions</t>
  </si>
  <si>
    <t>France</t>
  </si>
  <si>
    <t>Fair Data Society</t>
  </si>
  <si>
    <t>https://fairdatasociety.org/</t>
  </si>
  <si>
    <t>Datafund</t>
  </si>
  <si>
    <t>https://datafund.io/papers/Datafund_Business_Primer_Final_v09.pdf</t>
  </si>
  <si>
    <t>Slovenia</t>
  </si>
  <si>
    <t>Swarm</t>
  </si>
  <si>
    <t>https://www.ethswarm.org/foundation</t>
  </si>
  <si>
    <t>United States</t>
  </si>
  <si>
    <t>Qii</t>
  </si>
  <si>
    <t>https://www.qii.nl/over-ons</t>
  </si>
  <si>
    <t>tot</t>
  </si>
  <si>
    <t>Feature</t>
  </si>
  <si>
    <t>n</t>
  </si>
  <si>
    <t>%</t>
  </si>
  <si>
    <t>promoter</t>
  </si>
  <si>
    <t>governance</t>
  </si>
  <si>
    <t>order: State - NGO - Firm</t>
  </si>
  <si>
    <t>https://visionspol.eu/infrastructure/</t>
  </si>
  <si>
    <t>https://visionspol.eu/gouvernance/</t>
  </si>
  <si>
    <t>https://digi.me/features-core</t>
  </si>
  <si>
    <t>Data access mention</t>
  </si>
  <si>
    <t>Dedicated data access</t>
  </si>
  <si>
    <t>Documented access for research purposes</t>
  </si>
  <si>
    <t>Weople</t>
  </si>
  <si>
    <t>https://mijn.medsafe.io/auth</t>
  </si>
  <si>
    <t>https://www.zorgdoc.nl/</t>
  </si>
  <si>
    <t>ishare</t>
  </si>
  <si>
    <t>https://www.lunadna.com/individuals/</t>
  </si>
  <si>
    <t>cooperative</t>
  </si>
  <si>
    <t>Luna</t>
  </si>
  <si>
    <t>JoinData</t>
  </si>
  <si>
    <t>https://seedlinked.com/our-grower-network/</t>
  </si>
  <si>
    <t>Seedlinked</t>
  </si>
  <si>
    <t>https://swashapp.io/</t>
  </si>
  <si>
    <t>swashapp</t>
  </si>
  <si>
    <t>clture</t>
  </si>
  <si>
    <t>Ozone.ai</t>
  </si>
  <si>
    <t>X-Road</t>
  </si>
  <si>
    <t>https://x-road.global/secure-data-exchange-to-the-japanese-energy-sector</t>
  </si>
  <si>
    <t>https://web.archive.org/web/20201007100812/https://www.ozone.ai/</t>
  </si>
  <si>
    <t>Dawex</t>
  </si>
  <si>
    <t>https://www.dawex.com/en/</t>
  </si>
  <si>
    <t>https://www.snowflake.com/en/data-cloud/marketplace/</t>
  </si>
  <si>
    <t>Snowflake</t>
  </si>
  <si>
    <t>https://www.yivi.app/</t>
  </si>
  <si>
    <t>Lotame</t>
  </si>
  <si>
    <t>infrastructure</t>
  </si>
  <si>
    <t>https://seedlinked.com/run-variety-trials-on-seedlinked/for-other-trialing-organizations/</t>
  </si>
  <si>
    <t>https://join-data.nl/organisatie/</t>
  </si>
  <si>
    <t>https://join-data.nl/en/experience-stories/how-does-frieslandcampina-project-leader-laurens-guelen-experience-joindata/</t>
  </si>
  <si>
    <t>https://www.dawex.com/en/services/consortiums/</t>
  </si>
  <si>
    <t>Yivi (ex IRMA)</t>
  </si>
  <si>
    <t>n PIMS</t>
  </si>
  <si>
    <t>% PIMS</t>
  </si>
  <si>
    <t>n infra</t>
  </si>
  <si>
    <t>% infra</t>
  </si>
  <si>
    <t>n coop</t>
  </si>
  <si>
    <t>% coop</t>
  </si>
  <si>
    <t>sum</t>
  </si>
  <si>
    <t>n features</t>
  </si>
  <si>
    <t>frequency</t>
  </si>
  <si>
    <t>https://www.hubofallthings.com/the-hat-ecosystem</t>
  </si>
  <si>
    <t>https://patientsknowbest.com/commissioners/</t>
  </si>
  <si>
    <t>https://ivido.nl/applicaties-voor-je-gezondheid/</t>
  </si>
  <si>
    <t>Data access Mention</t>
  </si>
  <si>
    <t>Marketplace.city</t>
  </si>
  <si>
    <t>type_1</t>
  </si>
  <si>
    <t>type_2</t>
  </si>
  <si>
    <t>enabler</t>
  </si>
  <si>
    <t>DJustConnect</t>
  </si>
  <si>
    <t>link_1</t>
  </si>
  <si>
    <t>link_2</t>
  </si>
  <si>
    <t>https://digi.me/partner-terms/</t>
  </si>
  <si>
    <t>link_3</t>
  </si>
  <si>
    <t xml:space="preserve">https://bitsabout.me/en/contribute-to-the-research-on-the-impact-of-sars-cov-2/ </t>
  </si>
  <si>
    <t xml:space="preserve">https://cgmlife.nl/ </t>
  </si>
  <si>
    <t>https://marketplace.city/news/</t>
  </si>
  <si>
    <t>https://djustconnect.be/en/getting-started</t>
  </si>
  <si>
    <t>City Data Exchange</t>
  </si>
  <si>
    <t>Italy</t>
  </si>
  <si>
    <t>subject</t>
  </si>
  <si>
    <t>https://weople.space/en/</t>
  </si>
  <si>
    <t>https://docs.igrant.io/docs/</t>
  </si>
  <si>
    <t>https://ockto.eu/faq</t>
  </si>
  <si>
    <t>https://www.onecub.com/solution/</t>
  </si>
  <si>
    <t>https://www.qiyfoundation.org/qiy-scheme/what-is-a-scheme/organisation/</t>
  </si>
  <si>
    <t>https://solidproject.org/users/get-a-pod</t>
  </si>
  <si>
    <t>https://docs.streamr.network/</t>
  </si>
  <si>
    <t>https://www.lotame.com/pdx/marketplace/</t>
  </si>
  <si>
    <t xml:space="preserve">https://www.clture.io/faq </t>
  </si>
  <si>
    <t xml:space="preserve">https://cozy.io/fr/ </t>
  </si>
  <si>
    <t>Australia</t>
  </si>
  <si>
    <t>Sweden</t>
  </si>
  <si>
    <t>personal</t>
  </si>
  <si>
    <t>non-personal</t>
  </si>
  <si>
    <t>Estonia</t>
  </si>
  <si>
    <t>Count of country</t>
  </si>
  <si>
    <t>Switzerland</t>
  </si>
  <si>
    <t>n multi</t>
  </si>
  <si>
    <t xml:space="preserve"> </t>
  </si>
  <si>
    <t>n personal</t>
  </si>
  <si>
    <t>n npersonal</t>
  </si>
  <si>
    <t>subject-centred</t>
  </si>
  <si>
    <t>https://www.gezondheidsmeter.nl/site/modules/xcenter/?storyid=32</t>
  </si>
  <si>
    <t>Documented implementation in research project</t>
  </si>
  <si>
    <t>0 features</t>
  </si>
  <si>
    <t>1 features</t>
  </si>
  <si>
    <t>2 features</t>
  </si>
  <si>
    <t>3 features</t>
  </si>
  <si>
    <t>4 features</t>
  </si>
  <si>
    <t>5 features</t>
  </si>
  <si>
    <t>tot agriculture</t>
  </si>
  <si>
    <t>n mono</t>
  </si>
  <si>
    <t>mono</t>
  </si>
  <si>
    <t>specialised</t>
  </si>
  <si>
    <t>unspecialised</t>
  </si>
  <si>
    <t xml:space="preserve">https://cphsolutionslab.dk/en/projekter/data-platforms/city-data-exchange </t>
  </si>
  <si>
    <t>https://bitsabout.me/en/shop-smart-and-live-healthy-with-the-new-nutri-score/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</si>
</sst>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family val="2"/>
      <scheme val="minor"/>
    </font>
    <font>
      <b/>
      <sz val="11"/>
      <color theme="1"/>
      <name val="Calibri"/>
      <family val="2"/>
      <scheme val="minor"/>
    </font>
    <font>
      <u/>
      <sz val="11"/>
      <color theme="10"/>
      <name val="Calibri"/>
      <family val="2"/>
      <scheme val="minor"/>
    </font>
    <font>
      <sz val="11"/>
      <name val="Calibri"/>
      <family val="2"/>
      <scheme val="minor"/>
    </font>
  </fonts>
  <fills count="7">
    <fill>
      <patternFill patternType="none"/>
    </fill>
    <fill>
      <patternFill patternType="gray125"/>
    </fill>
    <fill>
      <patternFill patternType="solid">
        <fgColor theme="6" tint="0.39997558519241921"/>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5"/>
        <bgColor indexed="64"/>
      </patternFill>
    </fill>
    <fill>
      <patternFill patternType="solid">
        <fgColor theme="3" tint="0.59999389629810485"/>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22">
    <xf numFmtId="0" fontId="0" fillId="0" borderId="0" xfId="0"/>
    <xf numFmtId="0" fontId="1" fillId="0" borderId="0" xfId="0" applyFont="1"/>
    <xf numFmtId="0" fontId="0" fillId="0" borderId="0" xfId="0" applyAlignment="1">
      <alignment horizontal="center" vertical="center" wrapText="1"/>
    </xf>
    <xf numFmtId="0" fontId="0" fillId="0" borderId="0" xfId="0" applyAlignment="1">
      <alignment horizontal="center" vertical="center"/>
    </xf>
    <xf numFmtId="0" fontId="0" fillId="2" borderId="0" xfId="0" applyFill="1"/>
    <xf numFmtId="0" fontId="0" fillId="0" borderId="0" xfId="0" applyAlignment="1">
      <alignment horizontal="center"/>
    </xf>
    <xf numFmtId="0" fontId="1" fillId="3" borderId="0" xfId="0" applyFont="1" applyFill="1"/>
    <xf numFmtId="0" fontId="2" fillId="0" borderId="0" xfId="1" applyFill="1" applyBorder="1"/>
    <xf numFmtId="0" fontId="1" fillId="4" borderId="0" xfId="0" applyFont="1" applyFill="1"/>
    <xf numFmtId="0" fontId="1" fillId="5" borderId="0" xfId="0" applyFont="1" applyFill="1"/>
    <xf numFmtId="0" fontId="3" fillId="0" borderId="0" xfId="0" applyFont="1" applyAlignment="1">
      <alignment horizontal="center"/>
    </xf>
    <xf numFmtId="0" fontId="3" fillId="0" borderId="0" xfId="1" applyFont="1" applyFill="1" applyBorder="1" applyAlignment="1">
      <alignment horizontal="center" vertical="center" wrapText="1"/>
    </xf>
    <xf numFmtId="0" fontId="3" fillId="0" borderId="0" xfId="1" applyFont="1" applyFill="1" applyAlignment="1">
      <alignment horizontal="center"/>
    </xf>
    <xf numFmtId="0" fontId="3" fillId="0" borderId="0" xfId="1" applyFont="1" applyAlignment="1">
      <alignment horizontal="center"/>
    </xf>
    <xf numFmtId="0" fontId="3" fillId="0" borderId="0" xfId="1" applyFont="1" applyFill="1" applyBorder="1" applyAlignment="1">
      <alignment horizontal="center"/>
    </xf>
    <xf numFmtId="0" fontId="0" fillId="0" borderId="0" xfId="0" applyAlignment="1">
      <alignment horizontal="left"/>
    </xf>
    <xf numFmtId="0" fontId="0" fillId="0" borderId="0" xfId="0" pivotButton="1"/>
    <xf numFmtId="0" fontId="1" fillId="6" borderId="0" xfId="0" applyFont="1" applyFill="1"/>
    <xf numFmtId="10" fontId="0" fillId="0" borderId="0" xfId="0" applyNumberFormat="1"/>
    <xf numFmtId="164" fontId="0" fillId="0" borderId="0" xfId="0" applyNumberFormat="1"/>
    <xf numFmtId="164" fontId="1" fillId="5" borderId="0" xfId="0" applyNumberFormat="1" applyFont="1" applyFill="1"/>
    <xf numFmtId="164" fontId="1" fillId="4" borderId="0" xfId="0" applyNumberFormat="1" applyFont="1" applyFill="1"/>
  </cellXfs>
  <cellStyles count="2">
    <cellStyle name="Hyperlink" xfId="1" builtinId="8"/>
    <cellStyle name="Normal" xfId="0" builtinId="0"/>
  </cellStyles>
  <dxfs count="4">
    <dxf>
      <font>
        <color rgb="FF9C5700"/>
      </font>
      <fill>
        <patternFill>
          <bgColor theme="7" tint="0.59996337778862885"/>
        </patternFill>
      </fill>
    </dxf>
    <dxf>
      <fill>
        <patternFill>
          <bgColor theme="9" tint="0.59996337778862885"/>
        </patternFill>
      </fill>
    </dxf>
    <dxf>
      <font>
        <color rgb="FF9C5700"/>
      </font>
      <fill>
        <patternFill>
          <bgColor theme="7" tint="0.59996337778862885"/>
        </patternFill>
      </fill>
    </dxf>
    <dxf>
      <fill>
        <patternFill>
          <bgColor theme="9"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20/07/relationships/rdRichValueWebImage" Target="richData/rdRichValueWebImage.xml"/><Relationship Id="rId18" Type="http://schemas.microsoft.com/office/2017/06/relationships/rdSupportingPropertyBagStructure" Target="richData/rdsupportingpropertybagstructur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sheetMetadata" Target="metadata.xml"/><Relationship Id="rId17" Type="http://schemas.microsoft.com/office/2017/06/relationships/richStyles" Target="richData/richStyles.xml"/><Relationship Id="rId2" Type="http://schemas.openxmlformats.org/officeDocument/2006/relationships/worksheet" Target="worksheets/sheet2.xml"/><Relationship Id="rId16" Type="http://schemas.microsoft.com/office/2017/06/relationships/rdArray" Target="richData/rdarray.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19" Type="http://schemas.microsoft.com/office/2017/06/relationships/rdSupportingPropertyBag" Target="richData/rdsupportingpropertybag.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 IVIR_final_book_figures.xlsx]Figure 1!PivotTable13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'Figure 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 1'!$A$4:$A$18</c:f>
              <c:strCache>
                <c:ptCount val="15"/>
                <c:pt idx="0">
                  <c:v>Japan</c:v>
                </c:pt>
                <c:pt idx="1">
                  <c:v>Estonia</c:v>
                </c:pt>
                <c:pt idx="2">
                  <c:v>Sweden</c:v>
                </c:pt>
                <c:pt idx="3">
                  <c:v>Germany</c:v>
                </c:pt>
                <c:pt idx="4">
                  <c:v>Denmark</c:v>
                </c:pt>
                <c:pt idx="5">
                  <c:v>Spain</c:v>
                </c:pt>
                <c:pt idx="6">
                  <c:v>Australia</c:v>
                </c:pt>
                <c:pt idx="7">
                  <c:v>Slovenia</c:v>
                </c:pt>
                <c:pt idx="8">
                  <c:v>Belgium</c:v>
                </c:pt>
                <c:pt idx="9">
                  <c:v>Italy</c:v>
                </c:pt>
                <c:pt idx="10">
                  <c:v>Switzerland</c:v>
                </c:pt>
                <c:pt idx="11">
                  <c:v>France</c:v>
                </c:pt>
                <c:pt idx="12">
                  <c:v>United Kingdom</c:v>
                </c:pt>
                <c:pt idx="13">
                  <c:v>United States</c:v>
                </c:pt>
                <c:pt idx="14">
                  <c:v>Netherlands</c:v>
                </c:pt>
              </c:strCache>
            </c:strRef>
          </c:cat>
          <c:val>
            <c:numRef>
              <c:f>'Figure 1'!$B$4:$B$18</c:f>
              <c:numCache>
                <c:formatCode>General</c:formatCode>
                <c:ptCount val="15"/>
                <c:pt idx="0">
                  <c:v>1</c:v>
                </c:pt>
                <c:pt idx="1">
                  <c:v>1</c:v>
                </c:pt>
                <c:pt idx="2">
                  <c:v>1</c:v>
                </c:pt>
                <c:pt idx="3">
                  <c:v>1</c:v>
                </c:pt>
                <c:pt idx="4">
                  <c:v>1</c:v>
                </c:pt>
                <c:pt idx="5">
                  <c:v>1</c:v>
                </c:pt>
                <c:pt idx="6">
                  <c:v>2</c:v>
                </c:pt>
                <c:pt idx="7">
                  <c:v>2</c:v>
                </c:pt>
                <c:pt idx="8">
                  <c:v>2</c:v>
                </c:pt>
                <c:pt idx="9">
                  <c:v>2</c:v>
                </c:pt>
                <c:pt idx="10">
                  <c:v>3</c:v>
                </c:pt>
                <c:pt idx="11">
                  <c:v>5</c:v>
                </c:pt>
                <c:pt idx="12">
                  <c:v>7</c:v>
                </c:pt>
                <c:pt idx="13">
                  <c:v>8</c:v>
                </c:pt>
                <c:pt idx="14">
                  <c:v>19</c:v>
                </c:pt>
              </c:numCache>
            </c:numRef>
          </c:val>
          <c:extLst>
            <c:ext xmlns:c16="http://schemas.microsoft.com/office/drawing/2014/chart" uri="{C3380CC4-5D6E-409C-BE32-E72D297353CC}">
              <c16:uniqueId val="{00000000-9E2B-4570-BC35-4BDE0E2B0E9D}"/>
            </c:ext>
          </c:extLst>
        </c:ser>
        <c:dLbls>
          <c:dLblPos val="outEnd"/>
          <c:showLegendKey val="0"/>
          <c:showVal val="1"/>
          <c:showCatName val="0"/>
          <c:showSerName val="0"/>
          <c:showPercent val="0"/>
          <c:showBubbleSize val="0"/>
        </c:dLbls>
        <c:gapWidth val="219"/>
        <c:overlap val="-27"/>
        <c:axId val="491641311"/>
        <c:axId val="1010422607"/>
      </c:barChart>
      <c:catAx>
        <c:axId val="4916413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0422607"/>
        <c:crosses val="autoZero"/>
        <c:auto val="1"/>
        <c:lblAlgn val="ctr"/>
        <c:lblOffset val="100"/>
        <c:noMultiLvlLbl val="0"/>
      </c:catAx>
      <c:valAx>
        <c:axId val="1010422607"/>
        <c:scaling>
          <c:orientation val="minMax"/>
        </c:scaling>
        <c:delete val="1"/>
        <c:axPos val="l"/>
        <c:numFmt formatCode="General" sourceLinked="1"/>
        <c:majorTickMark val="out"/>
        <c:minorTickMark val="none"/>
        <c:tickLblPos val="nextTo"/>
        <c:crossAx val="49164131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Type of DIS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subject-centered</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 2'!$A$2:$A$4</c:f>
              <c:strCache>
                <c:ptCount val="3"/>
                <c:pt idx="0">
                  <c:v>Data access mention</c:v>
                </c:pt>
                <c:pt idx="1">
                  <c:v>Dedicated data access</c:v>
                </c:pt>
                <c:pt idx="2">
                  <c:v>Documented implementation in research project</c:v>
                </c:pt>
              </c:strCache>
            </c:strRef>
          </c:cat>
          <c:val>
            <c:numRef>
              <c:f>'Figure 2'!$E$2:$E$4</c:f>
              <c:numCache>
                <c:formatCode>0.0%</c:formatCode>
                <c:ptCount val="3"/>
                <c:pt idx="0">
                  <c:v>0.25714285714285712</c:v>
                </c:pt>
                <c:pt idx="1">
                  <c:v>0.11428571428571428</c:v>
                </c:pt>
                <c:pt idx="2">
                  <c:v>0.2857142857142857</c:v>
                </c:pt>
              </c:numCache>
            </c:numRef>
          </c:val>
          <c:extLst>
            <c:ext xmlns:c16="http://schemas.microsoft.com/office/drawing/2014/chart" uri="{C3380CC4-5D6E-409C-BE32-E72D297353CC}">
              <c16:uniqueId val="{00000000-75CF-4EA9-BE65-FF7F2E180D34}"/>
            </c:ext>
          </c:extLst>
        </c:ser>
        <c:ser>
          <c:idx val="1"/>
          <c:order val="1"/>
          <c:tx>
            <c:v>Infrastructure</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 2'!$A$2:$A$4</c:f>
              <c:strCache>
                <c:ptCount val="3"/>
                <c:pt idx="0">
                  <c:v>Data access mention</c:v>
                </c:pt>
                <c:pt idx="1">
                  <c:v>Dedicated data access</c:v>
                </c:pt>
                <c:pt idx="2">
                  <c:v>Documented implementation in research project</c:v>
                </c:pt>
              </c:strCache>
            </c:strRef>
          </c:cat>
          <c:val>
            <c:numRef>
              <c:f>'Figure 2'!$G$2:$G$4</c:f>
              <c:numCache>
                <c:formatCode>0.0%</c:formatCode>
                <c:ptCount val="3"/>
                <c:pt idx="0">
                  <c:v>0.21052631578947367</c:v>
                </c:pt>
                <c:pt idx="1">
                  <c:v>5.2631578947368418E-2</c:v>
                </c:pt>
                <c:pt idx="2">
                  <c:v>0.10526315789473684</c:v>
                </c:pt>
              </c:numCache>
            </c:numRef>
          </c:val>
          <c:extLst>
            <c:ext xmlns:c16="http://schemas.microsoft.com/office/drawing/2014/chart" uri="{C3380CC4-5D6E-409C-BE32-E72D297353CC}">
              <c16:uniqueId val="{00000001-75CF-4EA9-BE65-FF7F2E180D34}"/>
            </c:ext>
          </c:extLst>
        </c:ser>
        <c:dLbls>
          <c:dLblPos val="outEnd"/>
          <c:showLegendKey val="0"/>
          <c:showVal val="1"/>
          <c:showCatName val="0"/>
          <c:showSerName val="0"/>
          <c:showPercent val="0"/>
          <c:showBubbleSize val="0"/>
        </c:dLbls>
        <c:gapWidth val="219"/>
        <c:overlap val="-27"/>
        <c:axId val="606298496"/>
        <c:axId val="606288416"/>
        <c:extLst>
          <c:ext xmlns:c15="http://schemas.microsoft.com/office/drawing/2012/chart" uri="{02D57815-91ED-43cb-92C2-25804820EDAC}">
            <c15:filteredBarSeries>
              <c15:ser>
                <c:idx val="2"/>
                <c:order val="2"/>
                <c:tx>
                  <c:v>Cooperatives</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'Figure 2'!$A$2:$A$4</c15:sqref>
                        </c15:formulaRef>
                      </c:ext>
                    </c:extLst>
                    <c:strCache>
                      <c:ptCount val="3"/>
                      <c:pt idx="0">
                        <c:v>Data access mention</c:v>
                      </c:pt>
                      <c:pt idx="1">
                        <c:v>Dedicated data access</c:v>
                      </c:pt>
                      <c:pt idx="2">
                        <c:v>Documented implementation in research project</c:v>
                      </c:pt>
                    </c:strCache>
                  </c:strRef>
                </c:cat>
                <c:val>
                  <c:numRef>
                    <c:extLst>
                      <c:ext uri="{02D57815-91ED-43cb-92C2-25804820EDAC}">
                        <c15:formulaRef>
                          <c15:sqref>'Figure 2'!$H$2:$H$4</c15:sqref>
                        </c15:formulaRef>
                      </c:ext>
                    </c:extLst>
                    <c:numCache>
                      <c:formatCode>General</c:formatCode>
                      <c:ptCount val="3"/>
                      <c:pt idx="0">
                        <c:v>0</c:v>
                      </c:pt>
                      <c:pt idx="1">
                        <c:v>0</c:v>
                      </c:pt>
                      <c:pt idx="2">
                        <c:v>0</c:v>
                      </c:pt>
                    </c:numCache>
                  </c:numRef>
                </c:val>
                <c:extLst>
                  <c:ext xmlns:c16="http://schemas.microsoft.com/office/drawing/2014/chart" uri="{C3380CC4-5D6E-409C-BE32-E72D297353CC}">
                    <c16:uniqueId val="{00000002-75CF-4EA9-BE65-FF7F2E180D34}"/>
                  </c:ext>
                </c:extLst>
              </c15:ser>
            </c15:filteredBarSeries>
          </c:ext>
        </c:extLst>
      </c:barChart>
      <c:catAx>
        <c:axId val="606298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288416"/>
        <c:crosses val="autoZero"/>
        <c:auto val="1"/>
        <c:lblAlgn val="ctr"/>
        <c:lblOffset val="100"/>
        <c:noMultiLvlLbl val="0"/>
      </c:catAx>
      <c:valAx>
        <c:axId val="606288416"/>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 of initiatives in the group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crossAx val="6062984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aseline="0"/>
              <a:t>(Non)personal data</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personal data</c:v>
          </c:tx>
          <c:spPr>
            <a:solidFill>
              <a:schemeClr val="accent1"/>
            </a:solidFill>
            <a:ln>
              <a:noFill/>
            </a:ln>
            <a:effectLst/>
          </c:spPr>
          <c:invertIfNegative val="0"/>
          <c:cat>
            <c:strRef>
              <c:f>'Figure 2'!$A$2:$A$4</c:f>
              <c:strCache>
                <c:ptCount val="3"/>
                <c:pt idx="0">
                  <c:v>Data access mention</c:v>
                </c:pt>
                <c:pt idx="1">
                  <c:v>Dedicated data access</c:v>
                </c:pt>
                <c:pt idx="2">
                  <c:v>Documented implementation in research project</c:v>
                </c:pt>
              </c:strCache>
            </c:strRef>
          </c:cat>
          <c:val>
            <c:numRef>
              <c:f>'Figure 2'!$N$2:$N$4</c:f>
              <c:numCache>
                <c:formatCode>General</c:formatCode>
                <c:ptCount val="3"/>
                <c:pt idx="0">
                  <c:v>5</c:v>
                </c:pt>
                <c:pt idx="1">
                  <c:v>4</c:v>
                </c:pt>
                <c:pt idx="2">
                  <c:v>6</c:v>
                </c:pt>
              </c:numCache>
            </c:numRef>
          </c:val>
          <c:extLst>
            <c:ext xmlns:c16="http://schemas.microsoft.com/office/drawing/2014/chart" uri="{C3380CC4-5D6E-409C-BE32-E72D297353CC}">
              <c16:uniqueId val="{00000000-0076-443D-9483-B7D9EE6C8073}"/>
            </c:ext>
          </c:extLst>
        </c:ser>
        <c:ser>
          <c:idx val="1"/>
          <c:order val="1"/>
          <c:tx>
            <c:v>non-personal data</c:v>
          </c:tx>
          <c:spPr>
            <a:solidFill>
              <a:schemeClr val="accent2"/>
            </a:solidFill>
            <a:ln>
              <a:noFill/>
            </a:ln>
            <a:effectLst/>
          </c:spPr>
          <c:invertIfNegative val="0"/>
          <c:cat>
            <c:strRef>
              <c:f>'Figure 2'!$A$2:$A$4</c:f>
              <c:strCache>
                <c:ptCount val="3"/>
                <c:pt idx="0">
                  <c:v>Data access mention</c:v>
                </c:pt>
                <c:pt idx="1">
                  <c:v>Dedicated data access</c:v>
                </c:pt>
                <c:pt idx="2">
                  <c:v>Documented implementation in research project</c:v>
                </c:pt>
              </c:strCache>
            </c:strRef>
          </c:cat>
          <c:val>
            <c:numRef>
              <c:f>'Figure 2'!$O$2:$O$4</c:f>
              <c:numCache>
                <c:formatCode>General</c:formatCode>
                <c:ptCount val="3"/>
                <c:pt idx="0">
                  <c:v>3</c:v>
                </c:pt>
                <c:pt idx="1">
                  <c:v>1</c:v>
                </c:pt>
                <c:pt idx="2">
                  <c:v>2</c:v>
                </c:pt>
              </c:numCache>
            </c:numRef>
          </c:val>
          <c:extLst>
            <c:ext xmlns:c16="http://schemas.microsoft.com/office/drawing/2014/chart" uri="{C3380CC4-5D6E-409C-BE32-E72D297353CC}">
              <c16:uniqueId val="{00000001-0076-443D-9483-B7D9EE6C8073}"/>
            </c:ext>
          </c:extLst>
        </c:ser>
        <c:dLbls>
          <c:showLegendKey val="0"/>
          <c:showVal val="0"/>
          <c:showCatName val="0"/>
          <c:showSerName val="0"/>
          <c:showPercent val="0"/>
          <c:showBubbleSize val="0"/>
        </c:dLbls>
        <c:gapWidth val="219"/>
        <c:overlap val="-27"/>
        <c:axId val="606298496"/>
        <c:axId val="606288416"/>
      </c:barChart>
      <c:catAx>
        <c:axId val="606298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288416"/>
        <c:crosses val="autoZero"/>
        <c:auto val="1"/>
        <c:lblAlgn val="ctr"/>
        <c:lblOffset val="100"/>
        <c:noMultiLvlLbl val="0"/>
      </c:catAx>
      <c:valAx>
        <c:axId val="606288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2984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Data</a:t>
            </a:r>
            <a:r>
              <a:rPr lang="en-US" baseline="0"/>
              <a:t> intermediation service types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'Figure 2'!$A$17:$A$19</c:f>
              <c:strCache>
                <c:ptCount val="3"/>
                <c:pt idx="0">
                  <c:v>subject-centred</c:v>
                </c:pt>
                <c:pt idx="1">
                  <c:v>infrastructure</c:v>
                </c:pt>
                <c:pt idx="2">
                  <c:v>cooperative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 2'!$A$17:$A$19</c:f>
              <c:strCache>
                <c:ptCount val="3"/>
                <c:pt idx="0">
                  <c:v>subject-centred</c:v>
                </c:pt>
                <c:pt idx="1">
                  <c:v>infrastructure</c:v>
                </c:pt>
                <c:pt idx="2">
                  <c:v>cooperative</c:v>
                </c:pt>
              </c:strCache>
            </c:strRef>
          </c:cat>
          <c:val>
            <c:numRef>
              <c:f>'Figure 2'!$B$17:$B$19</c:f>
              <c:numCache>
                <c:formatCode>General</c:formatCode>
                <c:ptCount val="3"/>
                <c:pt idx="0">
                  <c:v>35</c:v>
                </c:pt>
                <c:pt idx="1">
                  <c:v>19</c:v>
                </c:pt>
                <c:pt idx="2">
                  <c:v>0</c:v>
                </c:pt>
              </c:numCache>
            </c:numRef>
          </c:val>
          <c:extLst>
            <c:ext xmlns:c16="http://schemas.microsoft.com/office/drawing/2014/chart" uri="{C3380CC4-5D6E-409C-BE32-E72D297353CC}">
              <c16:uniqueId val="{00000000-6EAC-4C84-9231-4842BDD58F13}"/>
            </c:ext>
          </c:extLst>
        </c:ser>
        <c:dLbls>
          <c:dLblPos val="outEnd"/>
          <c:showLegendKey val="0"/>
          <c:showVal val="1"/>
          <c:showCatName val="0"/>
          <c:showSerName val="0"/>
          <c:showPercent val="0"/>
          <c:showBubbleSize val="0"/>
        </c:dLbls>
        <c:gapWidth val="182"/>
        <c:axId val="2000236559"/>
        <c:axId val="1010415407"/>
      </c:barChart>
      <c:catAx>
        <c:axId val="20002365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0415407"/>
        <c:crosses val="autoZero"/>
        <c:auto val="1"/>
        <c:lblAlgn val="ctr"/>
        <c:lblOffset val="100"/>
        <c:noMultiLvlLbl val="0"/>
      </c:catAx>
      <c:valAx>
        <c:axId val="1010415407"/>
        <c:scaling>
          <c:orientation val="minMax"/>
        </c:scaling>
        <c:delete val="1"/>
        <c:axPos val="b"/>
        <c:numFmt formatCode="General" sourceLinked="1"/>
        <c:majorTickMark val="none"/>
        <c:minorTickMark val="none"/>
        <c:tickLblPos val="nextTo"/>
        <c:crossAx val="20002365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4D6-46C0-8ED0-85D70A69E33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4D6-46C0-8ED0-85D70A69E33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4D6-46C0-8ED0-85D70A69E33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4D6-46C0-8ED0-85D70A69E33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numRef>
              <c:f>'Figure 2'!$A$27:$A$30</c:f>
              <c:numCache>
                <c:formatCode>General</c:formatCode>
                <c:ptCount val="4"/>
                <c:pt idx="0">
                  <c:v>0</c:v>
                </c:pt>
                <c:pt idx="1">
                  <c:v>1</c:v>
                </c:pt>
                <c:pt idx="2">
                  <c:v>2</c:v>
                </c:pt>
                <c:pt idx="3">
                  <c:v>3</c:v>
                </c:pt>
              </c:numCache>
            </c:numRef>
          </c:cat>
          <c:val>
            <c:numRef>
              <c:f>'Figure 2'!$B$27:$B$30</c:f>
              <c:numCache>
                <c:formatCode>General</c:formatCode>
                <c:ptCount val="4"/>
                <c:pt idx="0">
                  <c:v>38</c:v>
                </c:pt>
                <c:pt idx="1">
                  <c:v>7</c:v>
                </c:pt>
                <c:pt idx="2">
                  <c:v>4</c:v>
                </c:pt>
                <c:pt idx="3">
                  <c:v>5</c:v>
                </c:pt>
              </c:numCache>
            </c:numRef>
          </c:val>
          <c:extLst>
            <c:ext xmlns:c16="http://schemas.microsoft.com/office/drawing/2014/chart" uri="{C3380CC4-5D6E-409C-BE32-E72D297353CC}">
              <c16:uniqueId val="{00000000-8408-4187-919A-15E5444940E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Data intermediation service data specialisation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 2'!$A$13:$A$14</c:f>
              <c:strCache>
                <c:ptCount val="2"/>
                <c:pt idx="0">
                  <c:v>unspecialised</c:v>
                </c:pt>
                <c:pt idx="1">
                  <c:v>specialised</c:v>
                </c:pt>
              </c:strCache>
            </c:strRef>
          </c:cat>
          <c:val>
            <c:numRef>
              <c:f>'Figure 2'!$B$13:$B$14</c:f>
              <c:numCache>
                <c:formatCode>General</c:formatCode>
                <c:ptCount val="2"/>
                <c:pt idx="0">
                  <c:v>18</c:v>
                </c:pt>
                <c:pt idx="1">
                  <c:v>36</c:v>
                </c:pt>
              </c:numCache>
            </c:numRef>
          </c:val>
          <c:extLst>
            <c:ext xmlns:c16="http://schemas.microsoft.com/office/drawing/2014/chart" uri="{C3380CC4-5D6E-409C-BE32-E72D297353CC}">
              <c16:uniqueId val="{00000000-E457-411D-A3D4-0470C0909764}"/>
            </c:ext>
          </c:extLst>
        </c:ser>
        <c:dLbls>
          <c:dLblPos val="outEnd"/>
          <c:showLegendKey val="0"/>
          <c:showVal val="1"/>
          <c:showCatName val="0"/>
          <c:showSerName val="0"/>
          <c:showPercent val="0"/>
          <c:showBubbleSize val="0"/>
        </c:dLbls>
        <c:gapWidth val="182"/>
        <c:axId val="937497296"/>
        <c:axId val="991000160"/>
      </c:barChart>
      <c:catAx>
        <c:axId val="937497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000160"/>
        <c:crosses val="autoZero"/>
        <c:auto val="1"/>
        <c:lblAlgn val="ctr"/>
        <c:lblOffset val="100"/>
        <c:noMultiLvlLbl val="0"/>
      </c:catAx>
      <c:valAx>
        <c:axId val="991000160"/>
        <c:scaling>
          <c:orientation val="minMax"/>
        </c:scaling>
        <c:delete val="1"/>
        <c:axPos val="b"/>
        <c:numFmt formatCode="General" sourceLinked="1"/>
        <c:majorTickMark val="none"/>
        <c:minorTickMark val="none"/>
        <c:tickLblPos val="nextTo"/>
        <c:crossAx val="9374972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'Figure 3'!$A$2:$A$4</c:f>
              <c:strCache>
                <c:ptCount val="3"/>
                <c:pt idx="0">
                  <c:v>Data access mention</c:v>
                </c:pt>
                <c:pt idx="1">
                  <c:v>Dedicated data access</c:v>
                </c:pt>
                <c:pt idx="2">
                  <c:v>Documented implementation in research project</c:v>
                </c:pt>
              </c:strCache>
            </c:strRef>
          </c:tx>
          <c:spPr>
            <a:solidFill>
              <a:schemeClr val="accent1"/>
            </a:solidFill>
            <a:ln>
              <a:noFill/>
            </a:ln>
            <a:effectLst/>
          </c:spPr>
          <c:invertIfNegative val="0"/>
          <c:dLbls>
            <c:dLbl>
              <c:idx val="0"/>
              <c:tx>
                <c:rich>
                  <a:bodyPr/>
                  <a:lstStyle/>
                  <a:p>
                    <a:fld id="{67A61ADC-F001-4D2A-8D97-3D57BDEB03BB}" type="VALUE">
                      <a:rPr lang="en-US"/>
                      <a:pPr/>
                      <a:t>[VALUE]</a:t>
                    </a:fld>
                    <a:r>
                      <a:rPr lang="en-US"/>
                      <a:t> (23,6%)</a:t>
                    </a: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7F3C-457F-9EB0-391CDFBA6142}"/>
                </c:ext>
              </c:extLst>
            </c:dLbl>
            <c:dLbl>
              <c:idx val="1"/>
              <c:tx>
                <c:rich>
                  <a:bodyPr/>
                  <a:lstStyle/>
                  <a:p>
                    <a:fld id="{A32F5FDF-8733-429B-AF98-2CED5D868E68}" type="VALUE">
                      <a:rPr lang="en-US"/>
                      <a:pPr/>
                      <a:t>[VALUE]</a:t>
                    </a:fld>
                    <a:r>
                      <a:rPr lang="en-US"/>
                      <a:t> (9,1%)</a:t>
                    </a: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7F3C-457F-9EB0-391CDFBA6142}"/>
                </c:ext>
              </c:extLst>
            </c:dLbl>
            <c:dLbl>
              <c:idx val="2"/>
              <c:tx>
                <c:rich>
                  <a:bodyPr/>
                  <a:lstStyle/>
                  <a:p>
                    <a:fld id="{8CF28A39-4537-46BE-9D7B-DDCA6634370E}" type="VALUE">
                      <a:rPr lang="en-US"/>
                      <a:pPr/>
                      <a:t>[VALUE]</a:t>
                    </a:fld>
                    <a:r>
                      <a:rPr lang="en-US"/>
                      <a:t> (21,8%)</a:t>
                    </a: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7F3C-457F-9EB0-391CDFBA614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 3'!$A$2:$A$4</c:f>
              <c:strCache>
                <c:ptCount val="3"/>
                <c:pt idx="0">
                  <c:v>Data access mention</c:v>
                </c:pt>
                <c:pt idx="1">
                  <c:v>Dedicated data access</c:v>
                </c:pt>
                <c:pt idx="2">
                  <c:v>Documented implementation in research project</c:v>
                </c:pt>
              </c:strCache>
            </c:strRef>
          </c:cat>
          <c:val>
            <c:numRef>
              <c:f>'Figure 3'!$B$2:$B$4</c:f>
              <c:numCache>
                <c:formatCode>General</c:formatCode>
                <c:ptCount val="3"/>
                <c:pt idx="0">
                  <c:v>13</c:v>
                </c:pt>
                <c:pt idx="1">
                  <c:v>5</c:v>
                </c:pt>
                <c:pt idx="2">
                  <c:v>12</c:v>
                </c:pt>
              </c:numCache>
            </c:numRef>
          </c:val>
          <c:extLst>
            <c:ext xmlns:c16="http://schemas.microsoft.com/office/drawing/2014/chart" uri="{C3380CC4-5D6E-409C-BE32-E72D297353CC}">
              <c16:uniqueId val="{00000003-7F3C-457F-9EB0-391CDFBA6142}"/>
            </c:ext>
          </c:extLst>
        </c:ser>
        <c:dLbls>
          <c:dLblPos val="outEnd"/>
          <c:showLegendKey val="0"/>
          <c:showVal val="1"/>
          <c:showCatName val="0"/>
          <c:showSerName val="0"/>
          <c:showPercent val="0"/>
          <c:showBubbleSize val="0"/>
        </c:dLbls>
        <c:gapWidth val="219"/>
        <c:overlap val="-27"/>
        <c:axId val="1630382160"/>
        <c:axId val="1630382992"/>
        <c:extLst/>
      </c:barChart>
      <c:catAx>
        <c:axId val="1630382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382992"/>
        <c:crosses val="autoZero"/>
        <c:auto val="1"/>
        <c:lblAlgn val="ctr"/>
        <c:lblOffset val="100"/>
        <c:noMultiLvlLbl val="0"/>
      </c:catAx>
      <c:valAx>
        <c:axId val="1630382992"/>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N. of initiatives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630382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aseline="0"/>
              <a:t>(Non)personal data</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personal data</c:v>
          </c:tx>
          <c:spPr>
            <a:solidFill>
              <a:schemeClr val="accent1"/>
            </a:solidFill>
            <a:ln>
              <a:noFill/>
            </a:ln>
            <a:effectLst/>
          </c:spPr>
          <c:invertIfNegative val="0"/>
          <c:cat>
            <c:strRef>
              <c:f>'Figure 3'!$A$2:$A$4</c:f>
              <c:strCache>
                <c:ptCount val="3"/>
                <c:pt idx="0">
                  <c:v>Data access mention</c:v>
                </c:pt>
                <c:pt idx="1">
                  <c:v>Dedicated data access</c:v>
                </c:pt>
                <c:pt idx="2">
                  <c:v>Documented implementation in research project</c:v>
                </c:pt>
              </c:strCache>
            </c:strRef>
          </c:cat>
          <c:val>
            <c:numRef>
              <c:f>'Figure 3'!$N$2:$N$4</c:f>
              <c:numCache>
                <c:formatCode>General</c:formatCode>
                <c:ptCount val="3"/>
                <c:pt idx="0">
                  <c:v>5</c:v>
                </c:pt>
                <c:pt idx="1">
                  <c:v>4</c:v>
                </c:pt>
                <c:pt idx="2">
                  <c:v>6</c:v>
                </c:pt>
              </c:numCache>
            </c:numRef>
          </c:val>
          <c:extLst>
            <c:ext xmlns:c16="http://schemas.microsoft.com/office/drawing/2014/chart" uri="{C3380CC4-5D6E-409C-BE32-E72D297353CC}">
              <c16:uniqueId val="{00000000-D22B-4ADB-9B4D-DBFD3E5F8A92}"/>
            </c:ext>
          </c:extLst>
        </c:ser>
        <c:ser>
          <c:idx val="1"/>
          <c:order val="1"/>
          <c:tx>
            <c:v>non-personal data</c:v>
          </c:tx>
          <c:spPr>
            <a:solidFill>
              <a:schemeClr val="accent2"/>
            </a:solidFill>
            <a:ln>
              <a:noFill/>
            </a:ln>
            <a:effectLst/>
          </c:spPr>
          <c:invertIfNegative val="0"/>
          <c:cat>
            <c:strRef>
              <c:f>'Figure 3'!$A$2:$A$4</c:f>
              <c:strCache>
                <c:ptCount val="3"/>
                <c:pt idx="0">
                  <c:v>Data access mention</c:v>
                </c:pt>
                <c:pt idx="1">
                  <c:v>Dedicated data access</c:v>
                </c:pt>
                <c:pt idx="2">
                  <c:v>Documented implementation in research project</c:v>
                </c:pt>
              </c:strCache>
            </c:strRef>
          </c:cat>
          <c:val>
            <c:numRef>
              <c:f>'Figure 3'!$O$2:$O$4</c:f>
              <c:numCache>
                <c:formatCode>General</c:formatCode>
                <c:ptCount val="3"/>
                <c:pt idx="0">
                  <c:v>3</c:v>
                </c:pt>
                <c:pt idx="1">
                  <c:v>1</c:v>
                </c:pt>
                <c:pt idx="2">
                  <c:v>2</c:v>
                </c:pt>
              </c:numCache>
            </c:numRef>
          </c:val>
          <c:extLst>
            <c:ext xmlns:c16="http://schemas.microsoft.com/office/drawing/2014/chart" uri="{C3380CC4-5D6E-409C-BE32-E72D297353CC}">
              <c16:uniqueId val="{00000001-D22B-4ADB-9B4D-DBFD3E5F8A92}"/>
            </c:ext>
          </c:extLst>
        </c:ser>
        <c:dLbls>
          <c:showLegendKey val="0"/>
          <c:showVal val="0"/>
          <c:showCatName val="0"/>
          <c:showSerName val="0"/>
          <c:showPercent val="0"/>
          <c:showBubbleSize val="0"/>
        </c:dLbls>
        <c:gapWidth val="219"/>
        <c:overlap val="-27"/>
        <c:axId val="606298496"/>
        <c:axId val="606288416"/>
      </c:barChart>
      <c:catAx>
        <c:axId val="606298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288416"/>
        <c:crosses val="autoZero"/>
        <c:auto val="1"/>
        <c:lblAlgn val="ctr"/>
        <c:lblOffset val="100"/>
        <c:noMultiLvlLbl val="0"/>
      </c:catAx>
      <c:valAx>
        <c:axId val="606288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2984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A50-4DC9-ACCF-85C8D4F03CB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A50-4DC9-ACCF-85C8D4F03CB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A50-4DC9-ACCF-85C8D4F03CB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A50-4DC9-ACCF-85C8D4F03CB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numRef>
              <c:f>'Figure 3'!$A$27:$A$30</c:f>
              <c:numCache>
                <c:formatCode>General</c:formatCode>
                <c:ptCount val="4"/>
                <c:pt idx="0">
                  <c:v>0</c:v>
                </c:pt>
                <c:pt idx="1">
                  <c:v>1</c:v>
                </c:pt>
                <c:pt idx="2">
                  <c:v>2</c:v>
                </c:pt>
                <c:pt idx="3">
                  <c:v>3</c:v>
                </c:pt>
              </c:numCache>
            </c:numRef>
          </c:cat>
          <c:val>
            <c:numRef>
              <c:f>'Figure 3'!$B$27:$B$30</c:f>
              <c:numCache>
                <c:formatCode>General</c:formatCode>
                <c:ptCount val="4"/>
                <c:pt idx="0">
                  <c:v>38</c:v>
                </c:pt>
                <c:pt idx="1">
                  <c:v>7</c:v>
                </c:pt>
                <c:pt idx="2">
                  <c:v>4</c:v>
                </c:pt>
                <c:pt idx="3">
                  <c:v>5</c:v>
                </c:pt>
              </c:numCache>
            </c:numRef>
          </c:val>
          <c:extLst>
            <c:ext xmlns:c16="http://schemas.microsoft.com/office/drawing/2014/chart" uri="{C3380CC4-5D6E-409C-BE32-E72D297353CC}">
              <c16:uniqueId val="{00000008-BA50-4DC9-ACCF-85C8D4F03CB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Type of DIS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subject-centered</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 4'!$A$2:$A$4</c:f>
              <c:strCache>
                <c:ptCount val="3"/>
                <c:pt idx="0">
                  <c:v>Data access mention</c:v>
                </c:pt>
                <c:pt idx="1">
                  <c:v>Dedicated data access</c:v>
                </c:pt>
                <c:pt idx="2">
                  <c:v>Documented implementation in research project</c:v>
                </c:pt>
              </c:strCache>
            </c:strRef>
          </c:cat>
          <c:val>
            <c:numRef>
              <c:f>'Figure 4'!$E$2:$E$4</c:f>
              <c:numCache>
                <c:formatCode>0.0%</c:formatCode>
                <c:ptCount val="3"/>
                <c:pt idx="0">
                  <c:v>0.25714285714285712</c:v>
                </c:pt>
                <c:pt idx="1">
                  <c:v>0.11428571428571428</c:v>
                </c:pt>
                <c:pt idx="2">
                  <c:v>0.2857142857142857</c:v>
                </c:pt>
              </c:numCache>
            </c:numRef>
          </c:val>
          <c:extLst>
            <c:ext xmlns:c16="http://schemas.microsoft.com/office/drawing/2014/chart" uri="{C3380CC4-5D6E-409C-BE32-E72D297353CC}">
              <c16:uniqueId val="{00000000-97E7-4C7A-8973-5554C614ADD1}"/>
            </c:ext>
          </c:extLst>
        </c:ser>
        <c:ser>
          <c:idx val="1"/>
          <c:order val="1"/>
          <c:tx>
            <c:v>Infrastructure</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 4'!$A$2:$A$4</c:f>
              <c:strCache>
                <c:ptCount val="3"/>
                <c:pt idx="0">
                  <c:v>Data access mention</c:v>
                </c:pt>
                <c:pt idx="1">
                  <c:v>Dedicated data access</c:v>
                </c:pt>
                <c:pt idx="2">
                  <c:v>Documented implementation in research project</c:v>
                </c:pt>
              </c:strCache>
            </c:strRef>
          </c:cat>
          <c:val>
            <c:numRef>
              <c:f>'Figure 4'!$G$2:$G$4</c:f>
              <c:numCache>
                <c:formatCode>0.0%</c:formatCode>
                <c:ptCount val="3"/>
                <c:pt idx="0">
                  <c:v>0.21052631578947367</c:v>
                </c:pt>
                <c:pt idx="1">
                  <c:v>5.2631578947368418E-2</c:v>
                </c:pt>
                <c:pt idx="2">
                  <c:v>0.10526315789473684</c:v>
                </c:pt>
              </c:numCache>
            </c:numRef>
          </c:val>
          <c:extLst>
            <c:ext xmlns:c16="http://schemas.microsoft.com/office/drawing/2014/chart" uri="{C3380CC4-5D6E-409C-BE32-E72D297353CC}">
              <c16:uniqueId val="{00000001-97E7-4C7A-8973-5554C614ADD1}"/>
            </c:ext>
          </c:extLst>
        </c:ser>
        <c:dLbls>
          <c:dLblPos val="outEnd"/>
          <c:showLegendKey val="0"/>
          <c:showVal val="1"/>
          <c:showCatName val="0"/>
          <c:showSerName val="0"/>
          <c:showPercent val="0"/>
          <c:showBubbleSize val="0"/>
        </c:dLbls>
        <c:gapWidth val="219"/>
        <c:overlap val="-27"/>
        <c:axId val="606298496"/>
        <c:axId val="606288416"/>
        <c:extLst>
          <c:ext xmlns:c15="http://schemas.microsoft.com/office/drawing/2012/chart" uri="{02D57815-91ED-43cb-92C2-25804820EDAC}">
            <c15:filteredBarSeries>
              <c15:ser>
                <c:idx val="2"/>
                <c:order val="2"/>
                <c:tx>
                  <c:v>Cooperatives</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'Figure 4'!$A$2:$A$4</c15:sqref>
                        </c15:formulaRef>
                      </c:ext>
                    </c:extLst>
                    <c:strCache>
                      <c:ptCount val="3"/>
                      <c:pt idx="0">
                        <c:v>Data access mention</c:v>
                      </c:pt>
                      <c:pt idx="1">
                        <c:v>Dedicated data access</c:v>
                      </c:pt>
                      <c:pt idx="2">
                        <c:v>Documented implementation in research project</c:v>
                      </c:pt>
                    </c:strCache>
                  </c:strRef>
                </c:cat>
                <c:val>
                  <c:numRef>
                    <c:extLst>
                      <c:ext uri="{02D57815-91ED-43cb-92C2-25804820EDAC}">
                        <c15:formulaRef>
                          <c15:sqref>'Figure 4'!$H$2:$H$4</c15:sqref>
                        </c15:formulaRef>
                      </c:ext>
                    </c:extLst>
                    <c:numCache>
                      <c:formatCode>General</c:formatCode>
                      <c:ptCount val="3"/>
                      <c:pt idx="0">
                        <c:v>0</c:v>
                      </c:pt>
                      <c:pt idx="1">
                        <c:v>0</c:v>
                      </c:pt>
                      <c:pt idx="2">
                        <c:v>0</c:v>
                      </c:pt>
                    </c:numCache>
                  </c:numRef>
                </c:val>
                <c:extLst>
                  <c:ext xmlns:c16="http://schemas.microsoft.com/office/drawing/2014/chart" uri="{C3380CC4-5D6E-409C-BE32-E72D297353CC}">
                    <c16:uniqueId val="{00000002-97E7-4C7A-8973-5554C614ADD1}"/>
                  </c:ext>
                </c:extLst>
              </c15:ser>
            </c15:filteredBarSeries>
          </c:ext>
        </c:extLst>
      </c:barChart>
      <c:catAx>
        <c:axId val="606298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288416"/>
        <c:crosses val="autoZero"/>
        <c:auto val="1"/>
        <c:lblAlgn val="ctr"/>
        <c:lblOffset val="100"/>
        <c:noMultiLvlLbl val="0"/>
      </c:catAx>
      <c:valAx>
        <c:axId val="606288416"/>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 of initiatives in the group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crossAx val="6062984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aseline="0"/>
              <a:t>(Non)personal data</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personal data</c:v>
          </c:tx>
          <c:spPr>
            <a:solidFill>
              <a:schemeClr val="accent1"/>
            </a:solidFill>
            <a:ln>
              <a:noFill/>
            </a:ln>
            <a:effectLst/>
          </c:spPr>
          <c:invertIfNegative val="0"/>
          <c:cat>
            <c:strRef>
              <c:f>'Figure 4'!$A$2:$A$4</c:f>
              <c:strCache>
                <c:ptCount val="3"/>
                <c:pt idx="0">
                  <c:v>Data access mention</c:v>
                </c:pt>
                <c:pt idx="1">
                  <c:v>Dedicated data access</c:v>
                </c:pt>
                <c:pt idx="2">
                  <c:v>Documented implementation in research project</c:v>
                </c:pt>
              </c:strCache>
            </c:strRef>
          </c:cat>
          <c:val>
            <c:numRef>
              <c:f>'Figure 4'!$N$2:$N$4</c:f>
              <c:numCache>
                <c:formatCode>General</c:formatCode>
                <c:ptCount val="3"/>
                <c:pt idx="0">
                  <c:v>5</c:v>
                </c:pt>
                <c:pt idx="1">
                  <c:v>4</c:v>
                </c:pt>
                <c:pt idx="2">
                  <c:v>6</c:v>
                </c:pt>
              </c:numCache>
            </c:numRef>
          </c:val>
          <c:extLst>
            <c:ext xmlns:c16="http://schemas.microsoft.com/office/drawing/2014/chart" uri="{C3380CC4-5D6E-409C-BE32-E72D297353CC}">
              <c16:uniqueId val="{00000000-46A0-41E9-96F5-12BAC2A392E2}"/>
            </c:ext>
          </c:extLst>
        </c:ser>
        <c:ser>
          <c:idx val="1"/>
          <c:order val="1"/>
          <c:tx>
            <c:v>non-personal data</c:v>
          </c:tx>
          <c:spPr>
            <a:solidFill>
              <a:schemeClr val="accent2"/>
            </a:solidFill>
            <a:ln>
              <a:noFill/>
            </a:ln>
            <a:effectLst/>
          </c:spPr>
          <c:invertIfNegative val="0"/>
          <c:cat>
            <c:strRef>
              <c:f>'Figure 4'!$A$2:$A$4</c:f>
              <c:strCache>
                <c:ptCount val="3"/>
                <c:pt idx="0">
                  <c:v>Data access mention</c:v>
                </c:pt>
                <c:pt idx="1">
                  <c:v>Dedicated data access</c:v>
                </c:pt>
                <c:pt idx="2">
                  <c:v>Documented implementation in research project</c:v>
                </c:pt>
              </c:strCache>
            </c:strRef>
          </c:cat>
          <c:val>
            <c:numRef>
              <c:f>'Figure 4'!$O$2:$O$4</c:f>
              <c:numCache>
                <c:formatCode>General</c:formatCode>
                <c:ptCount val="3"/>
                <c:pt idx="0">
                  <c:v>3</c:v>
                </c:pt>
                <c:pt idx="1">
                  <c:v>1</c:v>
                </c:pt>
                <c:pt idx="2">
                  <c:v>2</c:v>
                </c:pt>
              </c:numCache>
            </c:numRef>
          </c:val>
          <c:extLst>
            <c:ext xmlns:c16="http://schemas.microsoft.com/office/drawing/2014/chart" uri="{C3380CC4-5D6E-409C-BE32-E72D297353CC}">
              <c16:uniqueId val="{00000001-46A0-41E9-96F5-12BAC2A392E2}"/>
            </c:ext>
          </c:extLst>
        </c:ser>
        <c:dLbls>
          <c:showLegendKey val="0"/>
          <c:showVal val="0"/>
          <c:showCatName val="0"/>
          <c:showSerName val="0"/>
          <c:showPercent val="0"/>
          <c:showBubbleSize val="0"/>
        </c:dLbls>
        <c:gapWidth val="219"/>
        <c:overlap val="-27"/>
        <c:axId val="606298496"/>
        <c:axId val="606288416"/>
      </c:barChart>
      <c:catAx>
        <c:axId val="606298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288416"/>
        <c:crosses val="autoZero"/>
        <c:auto val="1"/>
        <c:lblAlgn val="ctr"/>
        <c:lblOffset val="100"/>
        <c:noMultiLvlLbl val="0"/>
      </c:catAx>
      <c:valAx>
        <c:axId val="606288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2984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D66-4298-9F10-634ED2D7E5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D66-4298-9F10-634ED2D7E58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D66-4298-9F10-634ED2D7E58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D66-4298-9F10-634ED2D7E58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numRef>
              <c:f>'Figure 4'!$A$27:$A$30</c:f>
              <c:numCache>
                <c:formatCode>General</c:formatCode>
                <c:ptCount val="4"/>
                <c:pt idx="0">
                  <c:v>0</c:v>
                </c:pt>
                <c:pt idx="1">
                  <c:v>1</c:v>
                </c:pt>
                <c:pt idx="2">
                  <c:v>2</c:v>
                </c:pt>
                <c:pt idx="3">
                  <c:v>3</c:v>
                </c:pt>
              </c:numCache>
            </c:numRef>
          </c:cat>
          <c:val>
            <c:numRef>
              <c:f>'Figure 4'!$B$27:$B$30</c:f>
              <c:numCache>
                <c:formatCode>General</c:formatCode>
                <c:ptCount val="4"/>
                <c:pt idx="0">
                  <c:v>38</c:v>
                </c:pt>
                <c:pt idx="1">
                  <c:v>7</c:v>
                </c:pt>
                <c:pt idx="2">
                  <c:v>4</c:v>
                </c:pt>
                <c:pt idx="3">
                  <c:v>5</c:v>
                </c:pt>
              </c:numCache>
            </c:numRef>
          </c:val>
          <c:extLst>
            <c:ext xmlns:c16="http://schemas.microsoft.com/office/drawing/2014/chart" uri="{C3380CC4-5D6E-409C-BE32-E72D297353CC}">
              <c16:uniqueId val="{00000008-ED66-4298-9F10-634ED2D7E58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Data intermediation service data specialisation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 4'!$A$13:$A$14</c:f>
              <c:strCache>
                <c:ptCount val="2"/>
                <c:pt idx="0">
                  <c:v>unspecialised</c:v>
                </c:pt>
                <c:pt idx="1">
                  <c:v>specialised</c:v>
                </c:pt>
              </c:strCache>
            </c:strRef>
          </c:cat>
          <c:val>
            <c:numRef>
              <c:f>'Figure 4'!$B$13:$B$14</c:f>
              <c:numCache>
                <c:formatCode>General</c:formatCode>
                <c:ptCount val="2"/>
                <c:pt idx="0">
                  <c:v>18</c:v>
                </c:pt>
                <c:pt idx="1">
                  <c:v>36</c:v>
                </c:pt>
              </c:numCache>
            </c:numRef>
          </c:val>
          <c:extLst>
            <c:ext xmlns:c16="http://schemas.microsoft.com/office/drawing/2014/chart" uri="{C3380CC4-5D6E-409C-BE32-E72D297353CC}">
              <c16:uniqueId val="{00000000-B9D9-4E39-B533-33C0CF260C58}"/>
            </c:ext>
          </c:extLst>
        </c:ser>
        <c:dLbls>
          <c:dLblPos val="outEnd"/>
          <c:showLegendKey val="0"/>
          <c:showVal val="1"/>
          <c:showCatName val="0"/>
          <c:showSerName val="0"/>
          <c:showPercent val="0"/>
          <c:showBubbleSize val="0"/>
        </c:dLbls>
        <c:gapWidth val="182"/>
        <c:axId val="937497296"/>
        <c:axId val="991000160"/>
      </c:barChart>
      <c:catAx>
        <c:axId val="937497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000160"/>
        <c:crosses val="autoZero"/>
        <c:auto val="1"/>
        <c:lblAlgn val="ctr"/>
        <c:lblOffset val="100"/>
        <c:noMultiLvlLbl val="0"/>
      </c:catAx>
      <c:valAx>
        <c:axId val="991000160"/>
        <c:scaling>
          <c:orientation val="minMax"/>
        </c:scaling>
        <c:delete val="1"/>
        <c:axPos val="b"/>
        <c:numFmt formatCode="General" sourceLinked="1"/>
        <c:majorTickMark val="none"/>
        <c:minorTickMark val="none"/>
        <c:tickLblPos val="nextTo"/>
        <c:crossAx val="9374972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Type of data intermediation service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subject-centered</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 5'!$A$2:$A$4</c:f>
              <c:strCache>
                <c:ptCount val="3"/>
                <c:pt idx="0">
                  <c:v>Data access mention</c:v>
                </c:pt>
                <c:pt idx="1">
                  <c:v>Dedicated data access</c:v>
                </c:pt>
                <c:pt idx="2">
                  <c:v>Documented implementation in research project</c:v>
                </c:pt>
              </c:strCache>
            </c:strRef>
          </c:cat>
          <c:val>
            <c:numRef>
              <c:f>'Figure 5'!$E$2:$E$4</c:f>
              <c:numCache>
                <c:formatCode>0.0%</c:formatCode>
                <c:ptCount val="3"/>
                <c:pt idx="0">
                  <c:v>0.25714285714285712</c:v>
                </c:pt>
                <c:pt idx="1">
                  <c:v>0.11428571428571428</c:v>
                </c:pt>
                <c:pt idx="2">
                  <c:v>0.2857142857142857</c:v>
                </c:pt>
              </c:numCache>
            </c:numRef>
          </c:val>
          <c:extLst>
            <c:ext xmlns:c16="http://schemas.microsoft.com/office/drawing/2014/chart" uri="{C3380CC4-5D6E-409C-BE32-E72D297353CC}">
              <c16:uniqueId val="{00000000-EDF5-4F29-8B4C-896D625804A8}"/>
            </c:ext>
          </c:extLst>
        </c:ser>
        <c:ser>
          <c:idx val="1"/>
          <c:order val="1"/>
          <c:tx>
            <c:v>Infrastructure</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 5'!$A$2:$A$4</c:f>
              <c:strCache>
                <c:ptCount val="3"/>
                <c:pt idx="0">
                  <c:v>Data access mention</c:v>
                </c:pt>
                <c:pt idx="1">
                  <c:v>Dedicated data access</c:v>
                </c:pt>
                <c:pt idx="2">
                  <c:v>Documented implementation in research project</c:v>
                </c:pt>
              </c:strCache>
            </c:strRef>
          </c:cat>
          <c:val>
            <c:numRef>
              <c:f>'Figure 5'!$G$2:$G$4</c:f>
              <c:numCache>
                <c:formatCode>0.0%</c:formatCode>
                <c:ptCount val="3"/>
                <c:pt idx="0">
                  <c:v>0.21052631578947367</c:v>
                </c:pt>
                <c:pt idx="1">
                  <c:v>5.2631578947368418E-2</c:v>
                </c:pt>
                <c:pt idx="2">
                  <c:v>0.10526315789473684</c:v>
                </c:pt>
              </c:numCache>
            </c:numRef>
          </c:val>
          <c:extLst>
            <c:ext xmlns:c16="http://schemas.microsoft.com/office/drawing/2014/chart" uri="{C3380CC4-5D6E-409C-BE32-E72D297353CC}">
              <c16:uniqueId val="{00000001-EDF5-4F29-8B4C-896D625804A8}"/>
            </c:ext>
          </c:extLst>
        </c:ser>
        <c:dLbls>
          <c:dLblPos val="outEnd"/>
          <c:showLegendKey val="0"/>
          <c:showVal val="1"/>
          <c:showCatName val="0"/>
          <c:showSerName val="0"/>
          <c:showPercent val="0"/>
          <c:showBubbleSize val="0"/>
        </c:dLbls>
        <c:gapWidth val="219"/>
        <c:overlap val="-27"/>
        <c:axId val="606298496"/>
        <c:axId val="606288416"/>
        <c:extLst>
          <c:ext xmlns:c15="http://schemas.microsoft.com/office/drawing/2012/chart" uri="{02D57815-91ED-43cb-92C2-25804820EDAC}">
            <c15:filteredBarSeries>
              <c15:ser>
                <c:idx val="2"/>
                <c:order val="2"/>
                <c:tx>
                  <c:v>Cooperatives</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'Figure 5'!$A$2:$A$4</c15:sqref>
                        </c15:formulaRef>
                      </c:ext>
                    </c:extLst>
                    <c:strCache>
                      <c:ptCount val="3"/>
                      <c:pt idx="0">
                        <c:v>Data access mention</c:v>
                      </c:pt>
                      <c:pt idx="1">
                        <c:v>Dedicated data access</c:v>
                      </c:pt>
                      <c:pt idx="2">
                        <c:v>Documented implementation in research project</c:v>
                      </c:pt>
                    </c:strCache>
                  </c:strRef>
                </c:cat>
                <c:val>
                  <c:numRef>
                    <c:extLst>
                      <c:ext uri="{02D57815-91ED-43cb-92C2-25804820EDAC}">
                        <c15:formulaRef>
                          <c15:sqref>'Figure 5'!$H$2:$H$4</c15:sqref>
                        </c15:formulaRef>
                      </c:ext>
                    </c:extLst>
                    <c:numCache>
                      <c:formatCode>General</c:formatCode>
                      <c:ptCount val="3"/>
                      <c:pt idx="0">
                        <c:v>0</c:v>
                      </c:pt>
                      <c:pt idx="1">
                        <c:v>0</c:v>
                      </c:pt>
                      <c:pt idx="2">
                        <c:v>0</c:v>
                      </c:pt>
                    </c:numCache>
                  </c:numRef>
                </c:val>
                <c:extLst>
                  <c:ext xmlns:c16="http://schemas.microsoft.com/office/drawing/2014/chart" uri="{C3380CC4-5D6E-409C-BE32-E72D297353CC}">
                    <c16:uniqueId val="{00000002-EDF5-4F29-8B4C-896D625804A8}"/>
                  </c:ext>
                </c:extLst>
              </c15:ser>
            </c15:filteredBarSeries>
          </c:ext>
        </c:extLst>
      </c:barChart>
      <c:catAx>
        <c:axId val="606298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288416"/>
        <c:crosses val="autoZero"/>
        <c:auto val="1"/>
        <c:lblAlgn val="ctr"/>
        <c:lblOffset val="100"/>
        <c:noMultiLvlLbl val="0"/>
      </c:catAx>
      <c:valAx>
        <c:axId val="606288416"/>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 of initiatives in the group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crossAx val="6062984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Data specialisation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specialised</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 5'!$A$2:$A$4</c:f>
              <c:strCache>
                <c:ptCount val="3"/>
                <c:pt idx="0">
                  <c:v>Data access mention</c:v>
                </c:pt>
                <c:pt idx="1">
                  <c:v>Dedicated data access</c:v>
                </c:pt>
                <c:pt idx="2">
                  <c:v>Documented implementation in research project</c:v>
                </c:pt>
              </c:strCache>
            </c:strRef>
          </c:cat>
          <c:val>
            <c:numRef>
              <c:f>'Figure 5'!$K$2:$K$4</c:f>
              <c:numCache>
                <c:formatCode>0.0%</c:formatCode>
                <c:ptCount val="3"/>
                <c:pt idx="0">
                  <c:v>0.3888888888888889</c:v>
                </c:pt>
                <c:pt idx="1">
                  <c:v>0.27777777777777779</c:v>
                </c:pt>
                <c:pt idx="2">
                  <c:v>0.3888888888888889</c:v>
                </c:pt>
              </c:numCache>
            </c:numRef>
          </c:val>
          <c:extLst>
            <c:ext xmlns:c16="http://schemas.microsoft.com/office/drawing/2014/chart" uri="{C3380CC4-5D6E-409C-BE32-E72D297353CC}">
              <c16:uniqueId val="{00000000-ED01-45B3-BC1C-C734CB88A8F0}"/>
            </c:ext>
          </c:extLst>
        </c:ser>
        <c:ser>
          <c:idx val="2"/>
          <c:order val="1"/>
          <c:tx>
            <c:v>unspecialised</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 5'!$A$2:$A$4</c:f>
              <c:strCache>
                <c:ptCount val="3"/>
                <c:pt idx="0">
                  <c:v>Data access mention</c:v>
                </c:pt>
                <c:pt idx="1">
                  <c:v>Dedicated data access</c:v>
                </c:pt>
                <c:pt idx="2">
                  <c:v>Documented implementation in research project</c:v>
                </c:pt>
              </c:strCache>
            </c:strRef>
          </c:cat>
          <c:val>
            <c:numRef>
              <c:f>'Figure 5'!$M$2:$M$4</c:f>
              <c:numCache>
                <c:formatCode>0.0%</c:formatCode>
                <c:ptCount val="3"/>
                <c:pt idx="0">
                  <c:v>0.16666666666666666</c:v>
                </c:pt>
                <c:pt idx="1">
                  <c:v>0</c:v>
                </c:pt>
                <c:pt idx="2">
                  <c:v>0.1388888888888889</c:v>
                </c:pt>
              </c:numCache>
            </c:numRef>
          </c:val>
          <c:extLst>
            <c:ext xmlns:c16="http://schemas.microsoft.com/office/drawing/2014/chart" uri="{C3380CC4-5D6E-409C-BE32-E72D297353CC}">
              <c16:uniqueId val="{00000001-ED01-45B3-BC1C-C734CB88A8F0}"/>
            </c:ext>
          </c:extLst>
        </c:ser>
        <c:dLbls>
          <c:dLblPos val="outEnd"/>
          <c:showLegendKey val="0"/>
          <c:showVal val="1"/>
          <c:showCatName val="0"/>
          <c:showSerName val="0"/>
          <c:showPercent val="0"/>
          <c:showBubbleSize val="0"/>
        </c:dLbls>
        <c:gapWidth val="219"/>
        <c:overlap val="-27"/>
        <c:axId val="606298496"/>
        <c:axId val="606288416"/>
      </c:barChart>
      <c:catAx>
        <c:axId val="6062984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288416"/>
        <c:crosses val="autoZero"/>
        <c:auto val="1"/>
        <c:lblAlgn val="ctr"/>
        <c:lblOffset val="100"/>
        <c:noMultiLvlLbl val="0"/>
      </c:catAx>
      <c:valAx>
        <c:axId val="606288416"/>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 of initiatives in the group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out"/>
        <c:minorTickMark val="none"/>
        <c:tickLblPos val="nextTo"/>
        <c:crossAx val="6062984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Data intermediation service data specialisation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 5'!$A$13:$A$14</c:f>
              <c:strCache>
                <c:ptCount val="2"/>
                <c:pt idx="0">
                  <c:v>unspecialised</c:v>
                </c:pt>
                <c:pt idx="1">
                  <c:v>specialised</c:v>
                </c:pt>
              </c:strCache>
            </c:strRef>
          </c:cat>
          <c:val>
            <c:numRef>
              <c:f>'Figure 5'!$B$13:$B$14</c:f>
              <c:numCache>
                <c:formatCode>General</c:formatCode>
                <c:ptCount val="2"/>
                <c:pt idx="0">
                  <c:v>18</c:v>
                </c:pt>
                <c:pt idx="1">
                  <c:v>36</c:v>
                </c:pt>
              </c:numCache>
            </c:numRef>
          </c:val>
          <c:extLst>
            <c:ext xmlns:c16="http://schemas.microsoft.com/office/drawing/2014/chart" uri="{C3380CC4-5D6E-409C-BE32-E72D297353CC}">
              <c16:uniqueId val="{00000000-E323-43A9-B26B-4D9D9BCA079E}"/>
            </c:ext>
          </c:extLst>
        </c:ser>
        <c:dLbls>
          <c:dLblPos val="outEnd"/>
          <c:showLegendKey val="0"/>
          <c:showVal val="1"/>
          <c:showCatName val="0"/>
          <c:showSerName val="0"/>
          <c:showPercent val="0"/>
          <c:showBubbleSize val="0"/>
        </c:dLbls>
        <c:gapWidth val="182"/>
        <c:axId val="937497296"/>
        <c:axId val="991000160"/>
      </c:barChart>
      <c:catAx>
        <c:axId val="937497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000160"/>
        <c:crosses val="autoZero"/>
        <c:auto val="1"/>
        <c:lblAlgn val="ctr"/>
        <c:lblOffset val="100"/>
        <c:noMultiLvlLbl val="0"/>
      </c:catAx>
      <c:valAx>
        <c:axId val="991000160"/>
        <c:scaling>
          <c:orientation val="minMax"/>
        </c:scaling>
        <c:delete val="1"/>
        <c:axPos val="b"/>
        <c:numFmt formatCode="General" sourceLinked="1"/>
        <c:majorTickMark val="none"/>
        <c:minorTickMark val="none"/>
        <c:tickLblPos val="nextTo"/>
        <c:crossAx val="9374972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Figures_all!$A$2:$A$4</c:f>
              <c:strCache>
                <c:ptCount val="3"/>
                <c:pt idx="0">
                  <c:v>Data access mention</c:v>
                </c:pt>
                <c:pt idx="1">
                  <c:v>Dedicated data access</c:v>
                </c:pt>
                <c:pt idx="2">
                  <c:v>Documented implementation in research project</c:v>
                </c:pt>
              </c:strCache>
            </c:strRef>
          </c:tx>
          <c:spPr>
            <a:solidFill>
              <a:schemeClr val="accent1"/>
            </a:solidFill>
            <a:ln>
              <a:noFill/>
            </a:ln>
            <a:effectLst/>
          </c:spPr>
          <c:invertIfNegative val="0"/>
          <c:dLbls>
            <c:dLbl>
              <c:idx val="0"/>
              <c:tx>
                <c:rich>
                  <a:bodyPr/>
                  <a:lstStyle/>
                  <a:p>
                    <a:fld id="{67A61ADC-F001-4D2A-8D97-3D57BDEB03BB}" type="VALUE">
                      <a:rPr lang="en-US"/>
                      <a:pPr/>
                      <a:t>[VALUE]</a:t>
                    </a:fld>
                    <a:r>
                      <a:rPr lang="en-US"/>
                      <a:t> (23,6%)</a:t>
                    </a: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A16E-4E5B-80E3-461D3404CD0F}"/>
                </c:ext>
              </c:extLst>
            </c:dLbl>
            <c:dLbl>
              <c:idx val="1"/>
              <c:tx>
                <c:rich>
                  <a:bodyPr/>
                  <a:lstStyle/>
                  <a:p>
                    <a:fld id="{A32F5FDF-8733-429B-AF98-2CED5D868E68}" type="VALUE">
                      <a:rPr lang="en-US"/>
                      <a:pPr/>
                      <a:t>[VALUE]</a:t>
                    </a:fld>
                    <a:r>
                      <a:rPr lang="en-US"/>
                      <a:t> (9,1%)</a:t>
                    </a: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A16E-4E5B-80E3-461D3404CD0F}"/>
                </c:ext>
              </c:extLst>
            </c:dLbl>
            <c:dLbl>
              <c:idx val="2"/>
              <c:tx>
                <c:rich>
                  <a:bodyPr/>
                  <a:lstStyle/>
                  <a:p>
                    <a:fld id="{8CF28A39-4537-46BE-9D7B-DDCA6634370E}" type="VALUE">
                      <a:rPr lang="en-US"/>
                      <a:pPr/>
                      <a:t>[VALUE]</a:t>
                    </a:fld>
                    <a:r>
                      <a:rPr lang="en-US"/>
                      <a:t> (21,8%)</a:t>
                    </a: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A16E-4E5B-80E3-461D3404CD0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Figures_all!$A$2:$A$4</c:f>
              <c:strCache>
                <c:ptCount val="3"/>
                <c:pt idx="0">
                  <c:v>Data access mention</c:v>
                </c:pt>
                <c:pt idx="1">
                  <c:v>Dedicated data access</c:v>
                </c:pt>
                <c:pt idx="2">
                  <c:v>Documented implementation in research project</c:v>
                </c:pt>
              </c:strCache>
            </c:strRef>
          </c:cat>
          <c:val>
            <c:numRef>
              <c:f>Figures_all!$B$2:$B$4</c:f>
              <c:numCache>
                <c:formatCode>General</c:formatCode>
                <c:ptCount val="3"/>
                <c:pt idx="0">
                  <c:v>13</c:v>
                </c:pt>
                <c:pt idx="1">
                  <c:v>5</c:v>
                </c:pt>
                <c:pt idx="2">
                  <c:v>12</c:v>
                </c:pt>
              </c:numCache>
            </c:numRef>
          </c:val>
          <c:extLst>
            <c:ext xmlns:c16="http://schemas.microsoft.com/office/drawing/2014/chart" uri="{C3380CC4-5D6E-409C-BE32-E72D297353CC}">
              <c16:uniqueId val="{00000003-A16E-4E5B-80E3-461D3404CD0F}"/>
            </c:ext>
          </c:extLst>
        </c:ser>
        <c:dLbls>
          <c:dLblPos val="outEnd"/>
          <c:showLegendKey val="0"/>
          <c:showVal val="1"/>
          <c:showCatName val="0"/>
          <c:showSerName val="0"/>
          <c:showPercent val="0"/>
          <c:showBubbleSize val="0"/>
        </c:dLbls>
        <c:gapWidth val="219"/>
        <c:overlap val="-27"/>
        <c:axId val="1630382160"/>
        <c:axId val="1630382992"/>
        <c:extLst/>
      </c:barChart>
      <c:catAx>
        <c:axId val="1630382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382992"/>
        <c:crosses val="autoZero"/>
        <c:auto val="1"/>
        <c:lblAlgn val="ctr"/>
        <c:lblOffset val="100"/>
        <c:noMultiLvlLbl val="0"/>
      </c:catAx>
      <c:valAx>
        <c:axId val="1630382992"/>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N. of initiatives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630382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NGO-governed</c:v>
          </c:tx>
          <c:spPr>
            <a:solidFill>
              <a:schemeClr val="accent1"/>
            </a:solidFill>
            <a:ln>
              <a:noFill/>
            </a:ln>
            <a:effectLst/>
          </c:spPr>
          <c:invertIfNegative val="0"/>
          <c:cat>
            <c:strRef>
              <c:f>Figures_all!$A$2:$A$4</c:f>
              <c:strCache>
                <c:ptCount val="3"/>
                <c:pt idx="0">
                  <c:v>Data access mention</c:v>
                </c:pt>
                <c:pt idx="1">
                  <c:v>Dedicated data access</c:v>
                </c:pt>
                <c:pt idx="2">
                  <c:v>Documented implementation in research project</c:v>
                </c:pt>
              </c:strCache>
            </c:strRef>
          </c:cat>
          <c:val>
            <c:numRef>
              <c:f>'figure (2)'!#REF!</c:f>
              <c:numCache>
                <c:formatCode>General</c:formatCode>
                <c:ptCount val="1"/>
                <c:pt idx="0">
                  <c:v>1</c:v>
                </c:pt>
              </c:numCache>
            </c:numRef>
          </c:val>
          <c:extLst>
            <c:ext xmlns:c16="http://schemas.microsoft.com/office/drawing/2014/chart" uri="{C3380CC4-5D6E-409C-BE32-E72D297353CC}">
              <c16:uniqueId val="{00000000-5D41-4E5E-8132-B7A2BA532252}"/>
            </c:ext>
          </c:extLst>
        </c:ser>
        <c:ser>
          <c:idx val="1"/>
          <c:order val="1"/>
          <c:tx>
            <c:v>State-governed</c:v>
          </c:tx>
          <c:spPr>
            <a:solidFill>
              <a:schemeClr val="accent2"/>
            </a:solidFill>
            <a:ln>
              <a:noFill/>
            </a:ln>
            <a:effectLst/>
          </c:spPr>
          <c:invertIfNegative val="0"/>
          <c:cat>
            <c:strRef>
              <c:f>Figures_all!$A$2:$A$4</c:f>
              <c:strCache>
                <c:ptCount val="3"/>
                <c:pt idx="0">
                  <c:v>Data access mention</c:v>
                </c:pt>
                <c:pt idx="1">
                  <c:v>Dedicated data access</c:v>
                </c:pt>
                <c:pt idx="2">
                  <c:v>Documented implementation in research project</c:v>
                </c:pt>
              </c:strCache>
            </c:strRef>
          </c:cat>
          <c:val>
            <c:numRef>
              <c:f>'figure (2)'!#REF!</c:f>
              <c:numCache>
                <c:formatCode>General</c:formatCode>
                <c:ptCount val="1"/>
                <c:pt idx="0">
                  <c:v>1</c:v>
                </c:pt>
              </c:numCache>
            </c:numRef>
          </c:val>
          <c:extLst>
            <c:ext xmlns:c16="http://schemas.microsoft.com/office/drawing/2014/chart" uri="{C3380CC4-5D6E-409C-BE32-E72D297353CC}">
              <c16:uniqueId val="{00000001-5D41-4E5E-8132-B7A2BA532252}"/>
            </c:ext>
          </c:extLst>
        </c:ser>
        <c:ser>
          <c:idx val="2"/>
          <c:order val="2"/>
          <c:tx>
            <c:v>Firm-governed</c:v>
          </c:tx>
          <c:spPr>
            <a:solidFill>
              <a:schemeClr val="accent3"/>
            </a:solidFill>
            <a:ln>
              <a:noFill/>
            </a:ln>
            <a:effectLst/>
          </c:spPr>
          <c:invertIfNegative val="0"/>
          <c:cat>
            <c:strRef>
              <c:f>Figures_all!$A$2:$A$4</c:f>
              <c:strCache>
                <c:ptCount val="3"/>
                <c:pt idx="0">
                  <c:v>Data access mention</c:v>
                </c:pt>
                <c:pt idx="1">
                  <c:v>Dedicated data access</c:v>
                </c:pt>
                <c:pt idx="2">
                  <c:v>Documented implementation in research project</c:v>
                </c:pt>
              </c:strCache>
            </c:strRef>
          </c:cat>
          <c:val>
            <c:numRef>
              <c:f>'figure (2)'!#REF!</c:f>
              <c:numCache>
                <c:formatCode>General</c:formatCode>
                <c:ptCount val="1"/>
                <c:pt idx="0">
                  <c:v>1</c:v>
                </c:pt>
              </c:numCache>
            </c:numRef>
          </c:val>
          <c:extLst>
            <c:ext xmlns:c16="http://schemas.microsoft.com/office/drawing/2014/chart" uri="{C3380CC4-5D6E-409C-BE32-E72D297353CC}">
              <c16:uniqueId val="{00000002-5D41-4E5E-8132-B7A2BA532252}"/>
            </c:ext>
          </c:extLst>
        </c:ser>
        <c:dLbls>
          <c:showLegendKey val="0"/>
          <c:showVal val="0"/>
          <c:showCatName val="0"/>
          <c:showSerName val="0"/>
          <c:showPercent val="0"/>
          <c:showBubbleSize val="0"/>
        </c:dLbls>
        <c:gapWidth val="219"/>
        <c:overlap val="-27"/>
        <c:axId val="1934661920"/>
        <c:axId val="1934664000"/>
      </c:barChart>
      <c:catAx>
        <c:axId val="1934661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664000"/>
        <c:crosses val="autoZero"/>
        <c:auto val="1"/>
        <c:lblAlgn val="ctr"/>
        <c:lblOffset val="100"/>
        <c:noMultiLvlLbl val="0"/>
      </c:catAx>
      <c:valAx>
        <c:axId val="19346640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 of initiatives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661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Figures_all!$A$27:$A$30</c:f>
              <c:numCache>
                <c:formatCode>General</c:formatCode>
                <c:ptCount val="4"/>
                <c:pt idx="0">
                  <c:v>0</c:v>
                </c:pt>
                <c:pt idx="1">
                  <c:v>1</c:v>
                </c:pt>
                <c:pt idx="2">
                  <c:v>2</c:v>
                </c:pt>
                <c:pt idx="3">
                  <c:v>3</c:v>
                </c:pt>
              </c:numCache>
            </c:numRef>
          </c:cat>
          <c:val>
            <c:numRef>
              <c:f>Figures_all!$B$27:$B$30</c:f>
              <c:numCache>
                <c:formatCode>General</c:formatCode>
                <c:ptCount val="4"/>
                <c:pt idx="0">
                  <c:v>38</c:v>
                </c:pt>
                <c:pt idx="1">
                  <c:v>7</c:v>
                </c:pt>
                <c:pt idx="2">
                  <c:v>4</c:v>
                </c:pt>
                <c:pt idx="3">
                  <c:v>5</c:v>
                </c:pt>
              </c:numCache>
            </c:numRef>
          </c:val>
          <c:extLst>
            <c:ext xmlns:c16="http://schemas.microsoft.com/office/drawing/2014/chart" uri="{C3380CC4-5D6E-409C-BE32-E72D297353CC}">
              <c16:uniqueId val="{00000000-C0CA-4E60-99E3-56B7AE137F29}"/>
            </c:ext>
          </c:extLst>
        </c:ser>
        <c:dLbls>
          <c:dLblPos val="outEnd"/>
          <c:showLegendKey val="0"/>
          <c:showVal val="1"/>
          <c:showCatName val="0"/>
          <c:showSerName val="0"/>
          <c:showPercent val="0"/>
          <c:showBubbleSize val="0"/>
        </c:dLbls>
        <c:gapWidth val="219"/>
        <c:overlap val="-27"/>
        <c:axId val="115431360"/>
        <c:axId val="115431840"/>
      </c:barChart>
      <c:catAx>
        <c:axId val="1154313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Number of research openness features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31840"/>
        <c:crosses val="autoZero"/>
        <c:auto val="1"/>
        <c:lblAlgn val="ctr"/>
        <c:lblOffset val="100"/>
        <c:noMultiLvlLbl val="0"/>
      </c:catAx>
      <c:valAx>
        <c:axId val="115431840"/>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N. of features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154313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Type of DIS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subject-centered</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Figures_all!$A$2:$A$4</c:f>
              <c:strCache>
                <c:ptCount val="3"/>
                <c:pt idx="0">
                  <c:v>Data access mention</c:v>
                </c:pt>
                <c:pt idx="1">
                  <c:v>Dedicated data access</c:v>
                </c:pt>
                <c:pt idx="2">
                  <c:v>Documented implementation in research project</c:v>
                </c:pt>
              </c:strCache>
            </c:strRef>
          </c:cat>
          <c:val>
            <c:numRef>
              <c:f>Figures_all!$E$2:$E$4</c:f>
              <c:numCache>
                <c:formatCode>0.0%</c:formatCode>
                <c:ptCount val="3"/>
                <c:pt idx="0">
                  <c:v>0.25714285714285712</c:v>
                </c:pt>
                <c:pt idx="1">
                  <c:v>0.11428571428571428</c:v>
                </c:pt>
                <c:pt idx="2">
                  <c:v>0.2857142857142857</c:v>
                </c:pt>
              </c:numCache>
            </c:numRef>
          </c:val>
          <c:extLst>
            <c:ext xmlns:c16="http://schemas.microsoft.com/office/drawing/2014/chart" uri="{C3380CC4-5D6E-409C-BE32-E72D297353CC}">
              <c16:uniqueId val="{00000000-F3F6-45DE-BED7-87E2F0A93272}"/>
            </c:ext>
          </c:extLst>
        </c:ser>
        <c:ser>
          <c:idx val="1"/>
          <c:order val="1"/>
          <c:tx>
            <c:v>Infrastructure</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Figures_all!$A$2:$A$4</c:f>
              <c:strCache>
                <c:ptCount val="3"/>
                <c:pt idx="0">
                  <c:v>Data access mention</c:v>
                </c:pt>
                <c:pt idx="1">
                  <c:v>Dedicated data access</c:v>
                </c:pt>
                <c:pt idx="2">
                  <c:v>Documented implementation in research project</c:v>
                </c:pt>
              </c:strCache>
            </c:strRef>
          </c:cat>
          <c:val>
            <c:numRef>
              <c:f>Figures_all!$G$2:$G$4</c:f>
              <c:numCache>
                <c:formatCode>0.0%</c:formatCode>
                <c:ptCount val="3"/>
                <c:pt idx="0">
                  <c:v>0.21052631578947367</c:v>
                </c:pt>
                <c:pt idx="1">
                  <c:v>5.2631578947368418E-2</c:v>
                </c:pt>
                <c:pt idx="2">
                  <c:v>0.10526315789473684</c:v>
                </c:pt>
              </c:numCache>
            </c:numRef>
          </c:val>
          <c:extLst>
            <c:ext xmlns:c16="http://schemas.microsoft.com/office/drawing/2014/chart" uri="{C3380CC4-5D6E-409C-BE32-E72D297353CC}">
              <c16:uniqueId val="{00000001-F3F6-45DE-BED7-87E2F0A93272}"/>
            </c:ext>
          </c:extLst>
        </c:ser>
        <c:dLbls>
          <c:dLblPos val="outEnd"/>
          <c:showLegendKey val="0"/>
          <c:showVal val="1"/>
          <c:showCatName val="0"/>
          <c:showSerName val="0"/>
          <c:showPercent val="0"/>
          <c:showBubbleSize val="0"/>
        </c:dLbls>
        <c:gapWidth val="219"/>
        <c:overlap val="-27"/>
        <c:axId val="606298496"/>
        <c:axId val="606288416"/>
        <c:extLst>
          <c:ext xmlns:c15="http://schemas.microsoft.com/office/drawing/2012/chart" uri="{02D57815-91ED-43cb-92C2-25804820EDAC}">
            <c15:filteredBarSeries>
              <c15:ser>
                <c:idx val="2"/>
                <c:order val="2"/>
                <c:tx>
                  <c:v>Cooperatives</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Figures_all!$A$2:$A$4</c15:sqref>
                        </c15:formulaRef>
                      </c:ext>
                    </c:extLst>
                    <c:strCache>
                      <c:ptCount val="3"/>
                      <c:pt idx="0">
                        <c:v>Data access mention</c:v>
                      </c:pt>
                      <c:pt idx="1">
                        <c:v>Dedicated data access</c:v>
                      </c:pt>
                      <c:pt idx="2">
                        <c:v>Documented implementation in research project</c:v>
                      </c:pt>
                    </c:strCache>
                  </c:strRef>
                </c:cat>
                <c:val>
                  <c:numRef>
                    <c:extLst>
                      <c:ext uri="{02D57815-91ED-43cb-92C2-25804820EDAC}">
                        <c15:formulaRef>
                          <c15:sqref>Figures_all!$H$2:$H$4</c15:sqref>
                        </c15:formulaRef>
                      </c:ext>
                    </c:extLst>
                    <c:numCache>
                      <c:formatCode>General</c:formatCode>
                      <c:ptCount val="3"/>
                      <c:pt idx="0">
                        <c:v>0</c:v>
                      </c:pt>
                      <c:pt idx="1">
                        <c:v>0</c:v>
                      </c:pt>
                      <c:pt idx="2">
                        <c:v>0</c:v>
                      </c:pt>
                    </c:numCache>
                  </c:numRef>
                </c:val>
                <c:extLst>
                  <c:ext xmlns:c16="http://schemas.microsoft.com/office/drawing/2014/chart" uri="{C3380CC4-5D6E-409C-BE32-E72D297353CC}">
                    <c16:uniqueId val="{00000002-F3F6-45DE-BED7-87E2F0A93272}"/>
                  </c:ext>
                </c:extLst>
              </c15:ser>
            </c15:filteredBarSeries>
          </c:ext>
        </c:extLst>
      </c:barChart>
      <c:catAx>
        <c:axId val="606298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288416"/>
        <c:crosses val="autoZero"/>
        <c:auto val="1"/>
        <c:lblAlgn val="ctr"/>
        <c:lblOffset val="100"/>
        <c:noMultiLvlLbl val="0"/>
      </c:catAx>
      <c:valAx>
        <c:axId val="606288416"/>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 of initiatives in the group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crossAx val="6062984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Data specialisation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specialised</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Figures_all!$A$2:$A$4</c:f>
              <c:strCache>
                <c:ptCount val="3"/>
                <c:pt idx="0">
                  <c:v>Data access mention</c:v>
                </c:pt>
                <c:pt idx="1">
                  <c:v>Dedicated data access</c:v>
                </c:pt>
                <c:pt idx="2">
                  <c:v>Documented implementation in research project</c:v>
                </c:pt>
              </c:strCache>
            </c:strRef>
          </c:cat>
          <c:val>
            <c:numRef>
              <c:f>Figures_all!$K$2:$K$4</c:f>
              <c:numCache>
                <c:formatCode>0.0%</c:formatCode>
                <c:ptCount val="3"/>
                <c:pt idx="0">
                  <c:v>0.3888888888888889</c:v>
                </c:pt>
                <c:pt idx="1">
                  <c:v>0.27777777777777779</c:v>
                </c:pt>
                <c:pt idx="2">
                  <c:v>0.3888888888888889</c:v>
                </c:pt>
              </c:numCache>
            </c:numRef>
          </c:val>
          <c:extLst>
            <c:ext xmlns:c16="http://schemas.microsoft.com/office/drawing/2014/chart" uri="{C3380CC4-5D6E-409C-BE32-E72D297353CC}">
              <c16:uniqueId val="{00000000-C392-46EA-938A-E721671003B8}"/>
            </c:ext>
          </c:extLst>
        </c:ser>
        <c:ser>
          <c:idx val="2"/>
          <c:order val="1"/>
          <c:tx>
            <c:v>unspecialised</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Figures_all!$A$2:$A$4</c:f>
              <c:strCache>
                <c:ptCount val="3"/>
                <c:pt idx="0">
                  <c:v>Data access mention</c:v>
                </c:pt>
                <c:pt idx="1">
                  <c:v>Dedicated data access</c:v>
                </c:pt>
                <c:pt idx="2">
                  <c:v>Documented implementation in research project</c:v>
                </c:pt>
              </c:strCache>
            </c:strRef>
          </c:cat>
          <c:val>
            <c:numRef>
              <c:f>Figures_all!$M$2:$M$4</c:f>
              <c:numCache>
                <c:formatCode>0.0%</c:formatCode>
                <c:ptCount val="3"/>
                <c:pt idx="0">
                  <c:v>0.16666666666666666</c:v>
                </c:pt>
                <c:pt idx="1">
                  <c:v>0</c:v>
                </c:pt>
                <c:pt idx="2">
                  <c:v>0.1388888888888889</c:v>
                </c:pt>
              </c:numCache>
            </c:numRef>
          </c:val>
          <c:extLst>
            <c:ext xmlns:c16="http://schemas.microsoft.com/office/drawing/2014/chart" uri="{C3380CC4-5D6E-409C-BE32-E72D297353CC}">
              <c16:uniqueId val="{00000001-C392-46EA-938A-E721671003B8}"/>
            </c:ext>
          </c:extLst>
        </c:ser>
        <c:dLbls>
          <c:dLblPos val="outEnd"/>
          <c:showLegendKey val="0"/>
          <c:showVal val="1"/>
          <c:showCatName val="0"/>
          <c:showSerName val="0"/>
          <c:showPercent val="0"/>
          <c:showBubbleSize val="0"/>
        </c:dLbls>
        <c:gapWidth val="219"/>
        <c:overlap val="-27"/>
        <c:axId val="606298496"/>
        <c:axId val="606288416"/>
      </c:barChart>
      <c:catAx>
        <c:axId val="6062984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288416"/>
        <c:crosses val="autoZero"/>
        <c:auto val="1"/>
        <c:lblAlgn val="ctr"/>
        <c:lblOffset val="100"/>
        <c:noMultiLvlLbl val="0"/>
      </c:catAx>
      <c:valAx>
        <c:axId val="606288416"/>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 of initiatives in the group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out"/>
        <c:minorTickMark val="none"/>
        <c:tickLblPos val="nextTo"/>
        <c:crossAx val="6062984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aseline="0"/>
              <a:t>(Non)personal data</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personal data</c:v>
          </c:tx>
          <c:spPr>
            <a:solidFill>
              <a:schemeClr val="accent1"/>
            </a:solidFill>
            <a:ln>
              <a:noFill/>
            </a:ln>
            <a:effectLst/>
          </c:spPr>
          <c:invertIfNegative val="0"/>
          <c:cat>
            <c:strRef>
              <c:f>Figures_all!$A$2:$A$4</c:f>
              <c:strCache>
                <c:ptCount val="3"/>
                <c:pt idx="0">
                  <c:v>Data access mention</c:v>
                </c:pt>
                <c:pt idx="1">
                  <c:v>Dedicated data access</c:v>
                </c:pt>
                <c:pt idx="2">
                  <c:v>Documented implementation in research project</c:v>
                </c:pt>
              </c:strCache>
            </c:strRef>
          </c:cat>
          <c:val>
            <c:numRef>
              <c:f>Figures_all!$N$2:$N$4</c:f>
              <c:numCache>
                <c:formatCode>General</c:formatCode>
                <c:ptCount val="3"/>
                <c:pt idx="0">
                  <c:v>5</c:v>
                </c:pt>
                <c:pt idx="1">
                  <c:v>4</c:v>
                </c:pt>
                <c:pt idx="2">
                  <c:v>6</c:v>
                </c:pt>
              </c:numCache>
            </c:numRef>
          </c:val>
          <c:extLst>
            <c:ext xmlns:c16="http://schemas.microsoft.com/office/drawing/2014/chart" uri="{C3380CC4-5D6E-409C-BE32-E72D297353CC}">
              <c16:uniqueId val="{00000000-0FF2-4A4C-AF71-21ACBD050D2A}"/>
            </c:ext>
          </c:extLst>
        </c:ser>
        <c:ser>
          <c:idx val="1"/>
          <c:order val="1"/>
          <c:tx>
            <c:v>non-personal data</c:v>
          </c:tx>
          <c:spPr>
            <a:solidFill>
              <a:schemeClr val="accent2"/>
            </a:solidFill>
            <a:ln>
              <a:noFill/>
            </a:ln>
            <a:effectLst/>
          </c:spPr>
          <c:invertIfNegative val="0"/>
          <c:cat>
            <c:strRef>
              <c:f>Figures_all!$A$2:$A$4</c:f>
              <c:strCache>
                <c:ptCount val="3"/>
                <c:pt idx="0">
                  <c:v>Data access mention</c:v>
                </c:pt>
                <c:pt idx="1">
                  <c:v>Dedicated data access</c:v>
                </c:pt>
                <c:pt idx="2">
                  <c:v>Documented implementation in research project</c:v>
                </c:pt>
              </c:strCache>
            </c:strRef>
          </c:cat>
          <c:val>
            <c:numRef>
              <c:f>Figures_all!$O$2:$O$4</c:f>
              <c:numCache>
                <c:formatCode>General</c:formatCode>
                <c:ptCount val="3"/>
                <c:pt idx="0">
                  <c:v>3</c:v>
                </c:pt>
                <c:pt idx="1">
                  <c:v>1</c:v>
                </c:pt>
                <c:pt idx="2">
                  <c:v>2</c:v>
                </c:pt>
              </c:numCache>
            </c:numRef>
          </c:val>
          <c:extLst>
            <c:ext xmlns:c16="http://schemas.microsoft.com/office/drawing/2014/chart" uri="{C3380CC4-5D6E-409C-BE32-E72D297353CC}">
              <c16:uniqueId val="{00000001-0FF2-4A4C-AF71-21ACBD050D2A}"/>
            </c:ext>
          </c:extLst>
        </c:ser>
        <c:dLbls>
          <c:showLegendKey val="0"/>
          <c:showVal val="0"/>
          <c:showCatName val="0"/>
          <c:showSerName val="0"/>
          <c:showPercent val="0"/>
          <c:showBubbleSize val="0"/>
        </c:dLbls>
        <c:gapWidth val="219"/>
        <c:overlap val="-27"/>
        <c:axId val="606298496"/>
        <c:axId val="606288416"/>
      </c:barChart>
      <c:catAx>
        <c:axId val="606298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288416"/>
        <c:crosses val="autoZero"/>
        <c:auto val="1"/>
        <c:lblAlgn val="ctr"/>
        <c:lblOffset val="100"/>
        <c:noMultiLvlLbl val="0"/>
      </c:catAx>
      <c:valAx>
        <c:axId val="606288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2984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Data</a:t>
            </a:r>
            <a:r>
              <a:rPr lang="en-US" baseline="0"/>
              <a:t> intermediation service model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Figures_all!$A$17:$A$19</c:f>
              <c:strCache>
                <c:ptCount val="3"/>
                <c:pt idx="0">
                  <c:v>subject-centred</c:v>
                </c:pt>
                <c:pt idx="1">
                  <c:v>infrastructure</c:v>
                </c:pt>
                <c:pt idx="2">
                  <c:v>cooperative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Figures_all!$A$17:$A$19</c:f>
              <c:strCache>
                <c:ptCount val="3"/>
                <c:pt idx="0">
                  <c:v>subject-centred</c:v>
                </c:pt>
                <c:pt idx="1">
                  <c:v>infrastructure</c:v>
                </c:pt>
                <c:pt idx="2">
                  <c:v>cooperative</c:v>
                </c:pt>
              </c:strCache>
            </c:strRef>
          </c:cat>
          <c:val>
            <c:numRef>
              <c:f>Figures_all!$B$17:$B$19</c:f>
              <c:numCache>
                <c:formatCode>General</c:formatCode>
                <c:ptCount val="3"/>
                <c:pt idx="0">
                  <c:v>35</c:v>
                </c:pt>
                <c:pt idx="1">
                  <c:v>19</c:v>
                </c:pt>
                <c:pt idx="2">
                  <c:v>0</c:v>
                </c:pt>
              </c:numCache>
            </c:numRef>
          </c:val>
          <c:extLst>
            <c:ext xmlns:c16="http://schemas.microsoft.com/office/drawing/2014/chart" uri="{C3380CC4-5D6E-409C-BE32-E72D297353CC}">
              <c16:uniqueId val="{00000000-776B-4477-8568-133F986A803C}"/>
            </c:ext>
          </c:extLst>
        </c:ser>
        <c:dLbls>
          <c:dLblPos val="outEnd"/>
          <c:showLegendKey val="0"/>
          <c:showVal val="1"/>
          <c:showCatName val="0"/>
          <c:showSerName val="0"/>
          <c:showPercent val="0"/>
          <c:showBubbleSize val="0"/>
        </c:dLbls>
        <c:gapWidth val="182"/>
        <c:axId val="2000236559"/>
        <c:axId val="1010415407"/>
      </c:barChart>
      <c:catAx>
        <c:axId val="20002365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0415407"/>
        <c:crosses val="autoZero"/>
        <c:auto val="1"/>
        <c:lblAlgn val="ctr"/>
        <c:lblOffset val="100"/>
        <c:noMultiLvlLbl val="0"/>
      </c:catAx>
      <c:valAx>
        <c:axId val="1010415407"/>
        <c:scaling>
          <c:orientation val="minMax"/>
        </c:scaling>
        <c:delete val="1"/>
        <c:axPos val="b"/>
        <c:numFmt formatCode="General" sourceLinked="1"/>
        <c:majorTickMark val="none"/>
        <c:minorTickMark val="none"/>
        <c:tickLblPos val="nextTo"/>
        <c:crossAx val="20002365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92D-4CCB-B79A-E57C85A5527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92D-4CCB-B79A-E57C85A5527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92D-4CCB-B79A-E57C85A5527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92D-4CCB-B79A-E57C85A552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numRef>
              <c:f>Figures_all!$A$27:$A$30</c:f>
              <c:numCache>
                <c:formatCode>General</c:formatCode>
                <c:ptCount val="4"/>
                <c:pt idx="0">
                  <c:v>0</c:v>
                </c:pt>
                <c:pt idx="1">
                  <c:v>1</c:v>
                </c:pt>
                <c:pt idx="2">
                  <c:v>2</c:v>
                </c:pt>
                <c:pt idx="3">
                  <c:v>3</c:v>
                </c:pt>
              </c:numCache>
            </c:numRef>
          </c:cat>
          <c:val>
            <c:numRef>
              <c:f>Figures_all!$B$27:$B$30</c:f>
              <c:numCache>
                <c:formatCode>General</c:formatCode>
                <c:ptCount val="4"/>
                <c:pt idx="0">
                  <c:v>38</c:v>
                </c:pt>
                <c:pt idx="1">
                  <c:v>7</c:v>
                </c:pt>
                <c:pt idx="2">
                  <c:v>4</c:v>
                </c:pt>
                <c:pt idx="3">
                  <c:v>5</c:v>
                </c:pt>
              </c:numCache>
            </c:numRef>
          </c:val>
          <c:extLst>
            <c:ext xmlns:c16="http://schemas.microsoft.com/office/drawing/2014/chart" uri="{C3380CC4-5D6E-409C-BE32-E72D297353CC}">
              <c16:uniqueId val="{00000008-B92D-4CCB-B79A-E57C85A5527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Data intermediation service data specialisation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Figures_all!$A$13:$A$14</c:f>
              <c:strCache>
                <c:ptCount val="2"/>
                <c:pt idx="0">
                  <c:v>unspecialised</c:v>
                </c:pt>
                <c:pt idx="1">
                  <c:v>specialised</c:v>
                </c:pt>
              </c:strCache>
            </c:strRef>
          </c:cat>
          <c:val>
            <c:numRef>
              <c:f>Figures_all!$B$13:$B$14</c:f>
              <c:numCache>
                <c:formatCode>General</c:formatCode>
                <c:ptCount val="2"/>
                <c:pt idx="0">
                  <c:v>18</c:v>
                </c:pt>
                <c:pt idx="1">
                  <c:v>36</c:v>
                </c:pt>
              </c:numCache>
            </c:numRef>
          </c:val>
          <c:extLst>
            <c:ext xmlns:c16="http://schemas.microsoft.com/office/drawing/2014/chart" uri="{C3380CC4-5D6E-409C-BE32-E72D297353CC}">
              <c16:uniqueId val="{00000000-10F6-45DC-B4C9-805D3954283D}"/>
            </c:ext>
          </c:extLst>
        </c:ser>
        <c:dLbls>
          <c:dLblPos val="outEnd"/>
          <c:showLegendKey val="0"/>
          <c:showVal val="1"/>
          <c:showCatName val="0"/>
          <c:showSerName val="0"/>
          <c:showPercent val="0"/>
          <c:showBubbleSize val="0"/>
        </c:dLbls>
        <c:gapWidth val="182"/>
        <c:axId val="937497296"/>
        <c:axId val="991000160"/>
      </c:barChart>
      <c:catAx>
        <c:axId val="937497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000160"/>
        <c:crosses val="autoZero"/>
        <c:auto val="1"/>
        <c:lblAlgn val="ctr"/>
        <c:lblOffset val="100"/>
        <c:noMultiLvlLbl val="0"/>
      </c:catAx>
      <c:valAx>
        <c:axId val="991000160"/>
        <c:scaling>
          <c:orientation val="minMax"/>
        </c:scaling>
        <c:delete val="1"/>
        <c:axPos val="b"/>
        <c:numFmt formatCode="General" sourceLinked="1"/>
        <c:majorTickMark val="none"/>
        <c:minorTickMark val="none"/>
        <c:tickLblPos val="nextTo"/>
        <c:crossAx val="9374972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4"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8" Type="http://schemas.openxmlformats.org/officeDocument/2006/relationships/chart" Target="../charts/chart24.xml"/><Relationship Id="rId3" Type="http://schemas.openxmlformats.org/officeDocument/2006/relationships/chart" Target="../charts/chart19.xml"/><Relationship Id="rId7" Type="http://schemas.openxmlformats.org/officeDocument/2006/relationships/chart" Target="../charts/chart23.xml"/><Relationship Id="rId2" Type="http://schemas.openxmlformats.org/officeDocument/2006/relationships/chart" Target="../charts/chart18.xml"/><Relationship Id="rId1" Type="http://schemas.openxmlformats.org/officeDocument/2006/relationships/chart" Target="../charts/chart17.xml"/><Relationship Id="rId6" Type="http://schemas.openxmlformats.org/officeDocument/2006/relationships/chart" Target="../charts/chart22.xml"/><Relationship Id="rId5" Type="http://schemas.openxmlformats.org/officeDocument/2006/relationships/chart" Target="../charts/chart21.xml"/><Relationship Id="rId4" Type="http://schemas.openxmlformats.org/officeDocument/2006/relationships/chart" Target="../charts/chart20.xml"/><Relationship Id="rId9" Type="http://schemas.openxmlformats.org/officeDocument/2006/relationships/chart" Target="../charts/chart25.xml"/></Relationships>
</file>

<file path=xl/drawings/drawing1.xml><?xml version="1.0" encoding="utf-8"?>
<xdr:wsDr xmlns:xdr="http://schemas.openxmlformats.org/drawingml/2006/spreadsheetDrawing" xmlns:a="http://schemas.openxmlformats.org/drawingml/2006/main">
  <xdr:twoCellAnchor>
    <xdr:from>
      <xdr:col>4</xdr:col>
      <xdr:colOff>53975</xdr:colOff>
      <xdr:row>1</xdr:row>
      <xdr:rowOff>104775</xdr:rowOff>
    </xdr:from>
    <xdr:to>
      <xdr:col>11</xdr:col>
      <xdr:colOff>581025</xdr:colOff>
      <xdr:row>18</xdr:row>
      <xdr:rowOff>15875</xdr:rowOff>
    </xdr:to>
    <xdr:graphicFrame macro="">
      <xdr:nvGraphicFramePr>
        <xdr:cNvPr id="2" name="Chart 1">
          <a:extLst>
            <a:ext uri="{FF2B5EF4-FFF2-40B4-BE49-F238E27FC236}">
              <a16:creationId xmlns:a16="http://schemas.microsoft.com/office/drawing/2014/main" id="{F953A6E9-E6CF-AD03-CCE8-CE19346AB4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23</xdr:col>
      <xdr:colOff>531767</xdr:colOff>
      <xdr:row>26</xdr:row>
      <xdr:rowOff>6791</xdr:rowOff>
    </xdr:from>
    <xdr:to>
      <xdr:col>33</xdr:col>
      <xdr:colOff>37654</xdr:colOff>
      <xdr:row>42</xdr:row>
      <xdr:rowOff>70618</xdr:rowOff>
    </xdr:to>
    <xdr:graphicFrame macro="">
      <xdr:nvGraphicFramePr>
        <xdr:cNvPr id="6" name="Chart 5">
          <a:extLst>
            <a:ext uri="{FF2B5EF4-FFF2-40B4-BE49-F238E27FC236}">
              <a16:creationId xmlns:a16="http://schemas.microsoft.com/office/drawing/2014/main" id="{BB35A602-0ED3-4A29-9B8E-DBC32330CD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142875</xdr:colOff>
      <xdr:row>42</xdr:row>
      <xdr:rowOff>130969</xdr:rowOff>
    </xdr:from>
    <xdr:to>
      <xdr:col>22</xdr:col>
      <xdr:colOff>104007</xdr:colOff>
      <xdr:row>59</xdr:row>
      <xdr:rowOff>12518</xdr:rowOff>
    </xdr:to>
    <xdr:graphicFrame macro="">
      <xdr:nvGraphicFramePr>
        <xdr:cNvPr id="8" name="Chart 7">
          <a:extLst>
            <a:ext uri="{FF2B5EF4-FFF2-40B4-BE49-F238E27FC236}">
              <a16:creationId xmlns:a16="http://schemas.microsoft.com/office/drawing/2014/main" id="{0B205354-8705-4B70-B1DA-9D064788A3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553149</xdr:colOff>
      <xdr:row>5</xdr:row>
      <xdr:rowOff>128542</xdr:rowOff>
    </xdr:from>
    <xdr:to>
      <xdr:col>10</xdr:col>
      <xdr:colOff>221388</xdr:colOff>
      <xdr:row>22</xdr:row>
      <xdr:rowOff>10504</xdr:rowOff>
    </xdr:to>
    <xdr:graphicFrame macro="">
      <xdr:nvGraphicFramePr>
        <xdr:cNvPr id="9" name="Chart 8">
          <a:extLst>
            <a:ext uri="{FF2B5EF4-FFF2-40B4-BE49-F238E27FC236}">
              <a16:creationId xmlns:a16="http://schemas.microsoft.com/office/drawing/2014/main" id="{2EA47E07-FDD4-475E-1E3E-BDFCA06F0D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535782</xdr:colOff>
      <xdr:row>42</xdr:row>
      <xdr:rowOff>80962</xdr:rowOff>
    </xdr:from>
    <xdr:to>
      <xdr:col>11</xdr:col>
      <xdr:colOff>32544</xdr:colOff>
      <xdr:row>57</xdr:row>
      <xdr:rowOff>145256</xdr:rowOff>
    </xdr:to>
    <xdr:graphicFrame macro="">
      <xdr:nvGraphicFramePr>
        <xdr:cNvPr id="10" name="Chart 9">
          <a:extLst>
            <a:ext uri="{FF2B5EF4-FFF2-40B4-BE49-F238E27FC236}">
              <a16:creationId xmlns:a16="http://schemas.microsoft.com/office/drawing/2014/main" id="{EED2DD2F-99BB-E3B7-BAE8-4525E4DEFF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286106</xdr:colOff>
      <xdr:row>5</xdr:row>
      <xdr:rowOff>42809</xdr:rowOff>
    </xdr:from>
    <xdr:to>
      <xdr:col>17</xdr:col>
      <xdr:colOff>433725</xdr:colOff>
      <xdr:row>21</xdr:row>
      <xdr:rowOff>156110</xdr:rowOff>
    </xdr:to>
    <xdr:graphicFrame macro="">
      <xdr:nvGraphicFramePr>
        <xdr:cNvPr id="4" name="Chart 3">
          <a:extLst>
            <a:ext uri="{FF2B5EF4-FFF2-40B4-BE49-F238E27FC236}">
              <a16:creationId xmlns:a16="http://schemas.microsoft.com/office/drawing/2014/main" id="{01863319-3CFF-A9AD-C664-ED72B1CA52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440644</xdr:colOff>
      <xdr:row>5</xdr:row>
      <xdr:rowOff>154783</xdr:rowOff>
    </xdr:from>
    <xdr:to>
      <xdr:col>11</xdr:col>
      <xdr:colOff>583406</xdr:colOff>
      <xdr:row>25</xdr:row>
      <xdr:rowOff>154781</xdr:rowOff>
    </xdr:to>
    <xdr:graphicFrame macro="">
      <xdr:nvGraphicFramePr>
        <xdr:cNvPr id="2" name="Chart 1">
          <a:extLst>
            <a:ext uri="{FF2B5EF4-FFF2-40B4-BE49-F238E27FC236}">
              <a16:creationId xmlns:a16="http://schemas.microsoft.com/office/drawing/2014/main" id="{0686EB56-BBEB-4385-89FD-4AC81A1B82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142875</xdr:colOff>
      <xdr:row>42</xdr:row>
      <xdr:rowOff>130969</xdr:rowOff>
    </xdr:from>
    <xdr:to>
      <xdr:col>22</xdr:col>
      <xdr:colOff>104007</xdr:colOff>
      <xdr:row>59</xdr:row>
      <xdr:rowOff>12518</xdr:rowOff>
    </xdr:to>
    <xdr:graphicFrame macro="">
      <xdr:nvGraphicFramePr>
        <xdr:cNvPr id="7" name="Chart 6">
          <a:extLst>
            <a:ext uri="{FF2B5EF4-FFF2-40B4-BE49-F238E27FC236}">
              <a16:creationId xmlns:a16="http://schemas.microsoft.com/office/drawing/2014/main" id="{38A247C1-6152-46F2-81C0-546C3759BF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535782</xdr:colOff>
      <xdr:row>42</xdr:row>
      <xdr:rowOff>80962</xdr:rowOff>
    </xdr:from>
    <xdr:to>
      <xdr:col>11</xdr:col>
      <xdr:colOff>32544</xdr:colOff>
      <xdr:row>57</xdr:row>
      <xdr:rowOff>145256</xdr:rowOff>
    </xdr:to>
    <xdr:graphicFrame macro="">
      <xdr:nvGraphicFramePr>
        <xdr:cNvPr id="9" name="Chart 8">
          <a:extLst>
            <a:ext uri="{FF2B5EF4-FFF2-40B4-BE49-F238E27FC236}">
              <a16:creationId xmlns:a16="http://schemas.microsoft.com/office/drawing/2014/main" id="{7749A93B-5A73-4379-A514-A9A966D34B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23</xdr:col>
      <xdr:colOff>531767</xdr:colOff>
      <xdr:row>26</xdr:row>
      <xdr:rowOff>6791</xdr:rowOff>
    </xdr:from>
    <xdr:to>
      <xdr:col>33</xdr:col>
      <xdr:colOff>37654</xdr:colOff>
      <xdr:row>42</xdr:row>
      <xdr:rowOff>70618</xdr:rowOff>
    </xdr:to>
    <xdr:graphicFrame macro="">
      <xdr:nvGraphicFramePr>
        <xdr:cNvPr id="5" name="Chart 4">
          <a:extLst>
            <a:ext uri="{FF2B5EF4-FFF2-40B4-BE49-F238E27FC236}">
              <a16:creationId xmlns:a16="http://schemas.microsoft.com/office/drawing/2014/main" id="{8022DD7A-159A-42B5-ADD6-067A9D7F16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142875</xdr:colOff>
      <xdr:row>42</xdr:row>
      <xdr:rowOff>130969</xdr:rowOff>
    </xdr:from>
    <xdr:to>
      <xdr:col>22</xdr:col>
      <xdr:colOff>104007</xdr:colOff>
      <xdr:row>59</xdr:row>
      <xdr:rowOff>12518</xdr:rowOff>
    </xdr:to>
    <xdr:graphicFrame macro="">
      <xdr:nvGraphicFramePr>
        <xdr:cNvPr id="7" name="Chart 6">
          <a:extLst>
            <a:ext uri="{FF2B5EF4-FFF2-40B4-BE49-F238E27FC236}">
              <a16:creationId xmlns:a16="http://schemas.microsoft.com/office/drawing/2014/main" id="{ADDDA865-D31A-44EB-A69E-807A9844C4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300333</xdr:colOff>
      <xdr:row>5</xdr:row>
      <xdr:rowOff>109503</xdr:rowOff>
    </xdr:from>
    <xdr:to>
      <xdr:col>10</xdr:col>
      <xdr:colOff>403556</xdr:colOff>
      <xdr:row>20</xdr:row>
      <xdr:rowOff>173797</xdr:rowOff>
    </xdr:to>
    <xdr:graphicFrame macro="">
      <xdr:nvGraphicFramePr>
        <xdr:cNvPr id="9" name="Chart 8">
          <a:extLst>
            <a:ext uri="{FF2B5EF4-FFF2-40B4-BE49-F238E27FC236}">
              <a16:creationId xmlns:a16="http://schemas.microsoft.com/office/drawing/2014/main" id="{DED3588E-714C-406C-8C40-66FF77A4F2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34</xdr:col>
      <xdr:colOff>571499</xdr:colOff>
      <xdr:row>9</xdr:row>
      <xdr:rowOff>128427</xdr:rowOff>
    </xdr:from>
    <xdr:to>
      <xdr:col>42</xdr:col>
      <xdr:colOff>269624</xdr:colOff>
      <xdr:row>26</xdr:row>
      <xdr:rowOff>56223</xdr:rowOff>
    </xdr:to>
    <xdr:graphicFrame macro="">
      <xdr:nvGraphicFramePr>
        <xdr:cNvPr id="10" name="Chart 9">
          <a:extLst>
            <a:ext uri="{FF2B5EF4-FFF2-40B4-BE49-F238E27FC236}">
              <a16:creationId xmlns:a16="http://schemas.microsoft.com/office/drawing/2014/main" id="{17CD24CD-6DFB-4FBF-84A0-6790798F97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82271</xdr:colOff>
      <xdr:row>4</xdr:row>
      <xdr:rowOff>163758</xdr:rowOff>
    </xdr:from>
    <xdr:to>
      <xdr:col>11</xdr:col>
      <xdr:colOff>144675</xdr:colOff>
      <xdr:row>21</xdr:row>
      <xdr:rowOff>42079</xdr:rowOff>
    </xdr:to>
    <xdr:graphicFrame macro="">
      <xdr:nvGraphicFramePr>
        <xdr:cNvPr id="5" name="Chart 4">
          <a:extLst>
            <a:ext uri="{FF2B5EF4-FFF2-40B4-BE49-F238E27FC236}">
              <a16:creationId xmlns:a16="http://schemas.microsoft.com/office/drawing/2014/main" id="{77985946-BFC7-4FDD-A7ED-85DA509B75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198126</xdr:colOff>
      <xdr:row>4</xdr:row>
      <xdr:rowOff>177648</xdr:rowOff>
    </xdr:from>
    <xdr:to>
      <xdr:col>21</xdr:col>
      <xdr:colOff>306933</xdr:colOff>
      <xdr:row>21</xdr:row>
      <xdr:rowOff>61809</xdr:rowOff>
    </xdr:to>
    <xdr:graphicFrame macro="">
      <xdr:nvGraphicFramePr>
        <xdr:cNvPr id="6" name="Chart 5">
          <a:extLst>
            <a:ext uri="{FF2B5EF4-FFF2-40B4-BE49-F238E27FC236}">
              <a16:creationId xmlns:a16="http://schemas.microsoft.com/office/drawing/2014/main" id="{3191019E-AC70-41FF-9670-3CDD4C49F2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34</xdr:col>
      <xdr:colOff>571499</xdr:colOff>
      <xdr:row>9</xdr:row>
      <xdr:rowOff>128427</xdr:rowOff>
    </xdr:from>
    <xdr:to>
      <xdr:col>42</xdr:col>
      <xdr:colOff>269624</xdr:colOff>
      <xdr:row>26</xdr:row>
      <xdr:rowOff>56223</xdr:rowOff>
    </xdr:to>
    <xdr:graphicFrame macro="">
      <xdr:nvGraphicFramePr>
        <xdr:cNvPr id="10" name="Chart 9">
          <a:extLst>
            <a:ext uri="{FF2B5EF4-FFF2-40B4-BE49-F238E27FC236}">
              <a16:creationId xmlns:a16="http://schemas.microsoft.com/office/drawing/2014/main" id="{62231021-A66B-48A2-B643-47391F0E51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440644</xdr:colOff>
      <xdr:row>5</xdr:row>
      <xdr:rowOff>154783</xdr:rowOff>
    </xdr:from>
    <xdr:to>
      <xdr:col>11</xdr:col>
      <xdr:colOff>583406</xdr:colOff>
      <xdr:row>25</xdr:row>
      <xdr:rowOff>154781</xdr:rowOff>
    </xdr:to>
    <xdr:graphicFrame macro="">
      <xdr:nvGraphicFramePr>
        <xdr:cNvPr id="2" name="Chart 1">
          <a:extLst>
            <a:ext uri="{FF2B5EF4-FFF2-40B4-BE49-F238E27FC236}">
              <a16:creationId xmlns:a16="http://schemas.microsoft.com/office/drawing/2014/main" id="{89666B2F-AEEE-45F2-9F35-8E5765587F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478631</xdr:colOff>
      <xdr:row>4</xdr:row>
      <xdr:rowOff>0</xdr:rowOff>
    </xdr:from>
    <xdr:to>
      <xdr:col>27</xdr:col>
      <xdr:colOff>59531</xdr:colOff>
      <xdr:row>24</xdr:row>
      <xdr:rowOff>66902</xdr:rowOff>
    </xdr:to>
    <xdr:graphicFrame macro="">
      <xdr:nvGraphicFramePr>
        <xdr:cNvPr id="3" name="Chart 2">
          <a:extLst>
            <a:ext uri="{FF2B5EF4-FFF2-40B4-BE49-F238E27FC236}">
              <a16:creationId xmlns:a16="http://schemas.microsoft.com/office/drawing/2014/main" id="{4E5544ED-08B4-456F-9D03-18FA4459BC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223440</xdr:colOff>
      <xdr:row>26</xdr:row>
      <xdr:rowOff>45243</xdr:rowOff>
    </xdr:from>
    <xdr:to>
      <xdr:col>11</xdr:col>
      <xdr:colOff>0</xdr:colOff>
      <xdr:row>41</xdr:row>
      <xdr:rowOff>106362</xdr:rowOff>
    </xdr:to>
    <xdr:graphicFrame macro="">
      <xdr:nvGraphicFramePr>
        <xdr:cNvPr id="4" name="Chart 3">
          <a:extLst>
            <a:ext uri="{FF2B5EF4-FFF2-40B4-BE49-F238E27FC236}">
              <a16:creationId xmlns:a16="http://schemas.microsoft.com/office/drawing/2014/main" id="{49C05631-6A2C-4484-BFDB-C7FA87498E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531767</xdr:colOff>
      <xdr:row>26</xdr:row>
      <xdr:rowOff>6791</xdr:rowOff>
    </xdr:from>
    <xdr:to>
      <xdr:col>33</xdr:col>
      <xdr:colOff>37654</xdr:colOff>
      <xdr:row>42</xdr:row>
      <xdr:rowOff>70618</xdr:rowOff>
    </xdr:to>
    <xdr:graphicFrame macro="">
      <xdr:nvGraphicFramePr>
        <xdr:cNvPr id="5" name="Chart 4">
          <a:extLst>
            <a:ext uri="{FF2B5EF4-FFF2-40B4-BE49-F238E27FC236}">
              <a16:creationId xmlns:a16="http://schemas.microsoft.com/office/drawing/2014/main" id="{C40F6AC9-B877-46D4-9F67-2FFF6533E3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583406</xdr:colOff>
      <xdr:row>25</xdr:row>
      <xdr:rowOff>56356</xdr:rowOff>
    </xdr:from>
    <xdr:to>
      <xdr:col>22</xdr:col>
      <xdr:colOff>85752</xdr:colOff>
      <xdr:row>41</xdr:row>
      <xdr:rowOff>126023</xdr:rowOff>
    </xdr:to>
    <xdr:graphicFrame macro="">
      <xdr:nvGraphicFramePr>
        <xdr:cNvPr id="6" name="Chart 5">
          <a:extLst>
            <a:ext uri="{FF2B5EF4-FFF2-40B4-BE49-F238E27FC236}">
              <a16:creationId xmlns:a16="http://schemas.microsoft.com/office/drawing/2014/main" id="{CF442F6C-5707-446F-8A13-5601F5EFCA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142875</xdr:colOff>
      <xdr:row>42</xdr:row>
      <xdr:rowOff>130969</xdr:rowOff>
    </xdr:from>
    <xdr:to>
      <xdr:col>22</xdr:col>
      <xdr:colOff>104007</xdr:colOff>
      <xdr:row>59</xdr:row>
      <xdr:rowOff>12518</xdr:rowOff>
    </xdr:to>
    <xdr:graphicFrame macro="">
      <xdr:nvGraphicFramePr>
        <xdr:cNvPr id="7" name="Chart 6">
          <a:extLst>
            <a:ext uri="{FF2B5EF4-FFF2-40B4-BE49-F238E27FC236}">
              <a16:creationId xmlns:a16="http://schemas.microsoft.com/office/drawing/2014/main" id="{DF02E0BD-D718-406D-A92F-48347FD03D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27</xdr:col>
      <xdr:colOff>182138</xdr:colOff>
      <xdr:row>10</xdr:row>
      <xdr:rowOff>28655</xdr:rowOff>
    </xdr:from>
    <xdr:to>
      <xdr:col>34</xdr:col>
      <xdr:colOff>506781</xdr:colOff>
      <xdr:row>26</xdr:row>
      <xdr:rowOff>96123</xdr:rowOff>
    </xdr:to>
    <xdr:graphicFrame macro="">
      <xdr:nvGraphicFramePr>
        <xdr:cNvPr id="8" name="Chart 7">
          <a:extLst>
            <a:ext uri="{FF2B5EF4-FFF2-40B4-BE49-F238E27FC236}">
              <a16:creationId xmlns:a16="http://schemas.microsoft.com/office/drawing/2014/main" id="{97793E53-FD9F-48A3-94E0-B444E90D4B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535782</xdr:colOff>
      <xdr:row>42</xdr:row>
      <xdr:rowOff>80962</xdr:rowOff>
    </xdr:from>
    <xdr:to>
      <xdr:col>11</xdr:col>
      <xdr:colOff>32544</xdr:colOff>
      <xdr:row>57</xdr:row>
      <xdr:rowOff>145256</xdr:rowOff>
    </xdr:to>
    <xdr:graphicFrame macro="">
      <xdr:nvGraphicFramePr>
        <xdr:cNvPr id="9" name="Chart 8">
          <a:extLst>
            <a:ext uri="{FF2B5EF4-FFF2-40B4-BE49-F238E27FC236}">
              <a16:creationId xmlns:a16="http://schemas.microsoft.com/office/drawing/2014/main" id="{9AA9130C-A916-4D14-BA52-C807150C56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34</xdr:col>
      <xdr:colOff>571499</xdr:colOff>
      <xdr:row>9</xdr:row>
      <xdr:rowOff>128427</xdr:rowOff>
    </xdr:from>
    <xdr:to>
      <xdr:col>42</xdr:col>
      <xdr:colOff>269624</xdr:colOff>
      <xdr:row>26</xdr:row>
      <xdr:rowOff>56223</xdr:rowOff>
    </xdr:to>
    <xdr:graphicFrame macro="">
      <xdr:nvGraphicFramePr>
        <xdr:cNvPr id="10" name="Chart 9">
          <a:extLst>
            <a:ext uri="{FF2B5EF4-FFF2-40B4-BE49-F238E27FC236}">
              <a16:creationId xmlns:a16="http://schemas.microsoft.com/office/drawing/2014/main" id="{E509481D-DDC1-4896-B31D-0CBB0B6C3D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tteo Nebbiai" refreshedDate="45155.52088275463" createdVersion="8" refreshedVersion="8" minRefreshableVersion="3" recordCount="56" xr:uid="{9428FECB-00B1-4E49-9124-B580ED0A5F39}">
  <cacheSource type="worksheet">
    <worksheetSource ref="A1:R55" sheet="DISs"/>
  </cacheSource>
  <cacheFields count="18">
    <cacheField name="name" numFmtId="0">
      <sharedItems/>
    </cacheField>
    <cacheField name="Data access Mention" numFmtId="0">
      <sharedItems containsSemiMixedTypes="0" containsString="0" containsNumber="1" containsInteger="1" minValue="0" maxValue="1"/>
    </cacheField>
    <cacheField name="Dedicated access researchers" numFmtId="0">
      <sharedItems containsSemiMixedTypes="0" containsString="0" containsNumber="1" containsInteger="1" minValue="0" maxValue="1"/>
    </cacheField>
    <cacheField name="Governance representatives" numFmtId="0">
      <sharedItems containsSemiMixedTypes="0" containsString="0" containsNumber="1" containsInteger="1" minValue="0" maxValue="1"/>
    </cacheField>
    <cacheField name="Documented access for research purposes" numFmtId="0">
      <sharedItems containsSemiMixedTypes="0" containsString="0" containsNumber="1" containsInteger="1" minValue="0" maxValue="1"/>
    </cacheField>
    <cacheField name="country" numFmtId="0">
      <sharedItems count="15">
        <s v="Switzerland"/>
        <s v="Netherlands"/>
        <s v="United Kingdom"/>
        <s v="Denmark"/>
        <s v="United States"/>
        <s v="France"/>
        <s v="Slovenia"/>
        <s v="Australia"/>
        <s v="Belgium"/>
        <s v="Sweden"/>
        <s v="Spain"/>
        <s v="Japan"/>
        <s v="Italy"/>
        <s v="Germany"/>
        <s v="Estonia"/>
      </sharedItems>
    </cacheField>
    <cacheField name="scope" numFmtId="0">
      <sharedItems containsBlank="1"/>
    </cacheField>
    <cacheField name="year_b" numFmtId="0">
      <sharedItems containsString="0" containsBlank="1" containsNumber="1" containsInteger="1" minValue="2007" maxValue="2022"/>
    </cacheField>
    <cacheField name="year_e" numFmtId="0">
      <sharedItems containsBlank="1" containsMixedTypes="1" containsNumber="1" containsInteger="1" minValue="2018" maxValue="2023"/>
    </cacheField>
    <cacheField name="promoter" numFmtId="0">
      <sharedItems containsBlank="1"/>
    </cacheField>
    <cacheField name="governance" numFmtId="0">
      <sharedItems containsBlank="1"/>
    </cacheField>
    <cacheField name="type_1" numFmtId="0">
      <sharedItems/>
    </cacheField>
    <cacheField name="type_2" numFmtId="0">
      <sharedItems containsBlank="1"/>
    </cacheField>
    <cacheField name="data" numFmtId="0">
      <sharedItems containsBlank="1"/>
    </cacheField>
    <cacheField name="personal" numFmtId="0">
      <sharedItems containsBlank="1"/>
    </cacheField>
    <cacheField name="link_1" numFmtId="0">
      <sharedItems/>
    </cacheField>
    <cacheField name="link_2" numFmtId="0">
      <sharedItems containsBlank="1"/>
    </cacheField>
    <cacheField name="link_3"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
  <r>
    <s v="Bitsaboutme"/>
    <n v="1"/>
    <n v="0"/>
    <n v="0"/>
    <n v="1"/>
    <x v="0"/>
    <s v="Regional"/>
    <n v="2017"/>
    <s v="-"/>
    <s v="Firm"/>
    <s v="Firm"/>
    <s v="subject"/>
    <m/>
    <s v="multi"/>
    <m/>
    <s v="https://bitsabout.me/en/contribute-to-the-research-on-the-impact-of-sars-cov-2/ "/>
    <m/>
    <m/>
  </r>
  <r>
    <s v="CGM LIFE"/>
    <n v="0"/>
    <n v="0"/>
    <n v="0"/>
    <n v="0"/>
    <x v="1"/>
    <s v="National"/>
    <n v="2021"/>
    <n v="2023"/>
    <s v="Firm"/>
    <s v="Firm"/>
    <s v="subject"/>
    <m/>
    <s v="health"/>
    <s v="personal"/>
    <s v="https://cgmlife.nl/ "/>
    <m/>
    <m/>
  </r>
  <r>
    <s v="CitizenMe"/>
    <n v="1"/>
    <n v="0"/>
    <n v="0"/>
    <n v="1"/>
    <x v="2"/>
    <s v="Global"/>
    <n v="2014"/>
    <s v="-"/>
    <s v="Firm"/>
    <s v="Firm"/>
    <s v="subject"/>
    <s v="enabler"/>
    <s v="multi"/>
    <m/>
    <s v="https://www.citizenme.com/case-studies/gambling-and-the-fifa-world-cup-2022-part-1/"/>
    <m/>
    <m/>
  </r>
  <r>
    <s v="City Data Exchange"/>
    <n v="0"/>
    <n v="0"/>
    <n v="0"/>
    <n v="0"/>
    <x v="3"/>
    <m/>
    <n v="2015"/>
    <n v="2018"/>
    <m/>
    <m/>
    <s v="enabler"/>
    <m/>
    <s v="multi"/>
    <m/>
    <s v="https://cphsolutionslab.dk/en/projekter/data-platforms/city-data-exchange"/>
    <m/>
    <m/>
  </r>
  <r>
    <s v="clture"/>
    <n v="0"/>
    <n v="0"/>
    <n v="0"/>
    <n v="0"/>
    <x v="4"/>
    <s v="Global"/>
    <m/>
    <m/>
    <m/>
    <s v="Firm"/>
    <s v="subject"/>
    <m/>
    <s v="multi"/>
    <m/>
    <s v="https://www.clture.io/faq "/>
    <m/>
    <m/>
  </r>
  <r>
    <s v="Cozy"/>
    <n v="0"/>
    <n v="0"/>
    <n v="0"/>
    <n v="0"/>
    <x v="5"/>
    <s v="Global"/>
    <n v="2017"/>
    <s v="-"/>
    <s v="Firm"/>
    <s v="Firm"/>
    <s v="subject"/>
    <m/>
    <s v="multi"/>
    <m/>
    <s v="https://cozy.io/fr/ "/>
    <m/>
    <m/>
  </r>
  <r>
    <s v="Datafund"/>
    <n v="0"/>
    <n v="0"/>
    <n v="0"/>
    <n v="0"/>
    <x v="6"/>
    <s v="Global"/>
    <n v="2018"/>
    <s v="-"/>
    <s v="Firm"/>
    <s v="Firm"/>
    <s v="subject"/>
    <s v="enabler"/>
    <s v="multi"/>
    <m/>
    <s v="https://datafund.io/papers/Datafund_Business_Primer_Final_v09.pdf"/>
    <m/>
    <m/>
  </r>
  <r>
    <s v="Dawex"/>
    <n v="1"/>
    <n v="0"/>
    <n v="0"/>
    <n v="1"/>
    <x v="5"/>
    <m/>
    <m/>
    <m/>
    <m/>
    <s v="Firm"/>
    <s v="enabler"/>
    <m/>
    <s v="multi"/>
    <s v="non-personal"/>
    <s v="https://www.dawex.com/en/"/>
    <s v="https://www.dawex.com/en/services/consortiums/"/>
    <m/>
  </r>
  <r>
    <s v="Digi.me"/>
    <n v="0"/>
    <n v="0"/>
    <n v="0"/>
    <n v="0"/>
    <x v="7"/>
    <s v="Global"/>
    <n v="2009"/>
    <s v="-"/>
    <s v="Firm"/>
    <s v="Firm"/>
    <s v="subject"/>
    <s v="enabler"/>
    <s v="multi"/>
    <m/>
    <s v="https://digi.me/partner-terms/"/>
    <s v="https://digi.me/features-core"/>
    <m/>
  </r>
  <r>
    <s v="DJustConnect"/>
    <n v="0"/>
    <n v="0"/>
    <n v="0"/>
    <n v="0"/>
    <x v="8"/>
    <m/>
    <m/>
    <m/>
    <m/>
    <m/>
    <s v="enabler"/>
    <m/>
    <s v="agriculture"/>
    <s v="non-personal"/>
    <s v="https://djustconnect.be/en/getting-started"/>
    <m/>
    <m/>
  </r>
  <r>
    <s v="Drimpy"/>
    <n v="0"/>
    <n v="0"/>
    <n v="0"/>
    <n v="1"/>
    <x v="1"/>
    <s v="National"/>
    <n v="2011"/>
    <s v="-"/>
    <s v="Firm"/>
    <s v="Firm"/>
    <s v="subject"/>
    <m/>
    <s v="health"/>
    <s v="personal"/>
    <s v="https://www.drimpy.com/projecten/"/>
    <s v="https://www.drimpy.com/projecten/mydigitwin/"/>
    <m/>
  </r>
  <r>
    <s v="Fair Data Society"/>
    <n v="0"/>
    <n v="0"/>
    <n v="0"/>
    <n v="0"/>
    <x v="6"/>
    <s v="Global"/>
    <n v="2019"/>
    <s v="-"/>
    <s v="NGO"/>
    <s v="NGO"/>
    <s v="enabler"/>
    <m/>
    <s v="multi"/>
    <m/>
    <s v="https://fairdatasociety.org/"/>
    <m/>
    <m/>
  </r>
  <r>
    <s v="GAIA-X"/>
    <n v="1"/>
    <n v="0"/>
    <n v="1"/>
    <n v="1"/>
    <x v="8"/>
    <s v="Regional"/>
    <n v="2019"/>
    <s v="-"/>
    <s v="State"/>
    <s v="State-NGO-FIrm"/>
    <s v="enabler"/>
    <m/>
    <s v="multi"/>
    <m/>
    <s v="https://gaia-x.eu/who-we-are/association/"/>
    <m/>
    <m/>
  </r>
  <r>
    <s v="Gezondheidsmeter"/>
    <n v="1"/>
    <n v="0"/>
    <n v="0"/>
    <n v="1"/>
    <x v="1"/>
    <s v="National"/>
    <n v="2015"/>
    <s v="-"/>
    <s v="Firm"/>
    <s v="Firm"/>
    <s v="subject"/>
    <m/>
    <s v="health"/>
    <s v="personal"/>
    <s v="https://www.gezondheidsmeter.nl/site/voor-zorgverleners"/>
    <m/>
    <m/>
  </r>
  <r>
    <s v="HAT"/>
    <n v="0"/>
    <n v="0"/>
    <n v="0"/>
    <n v="0"/>
    <x v="2"/>
    <s v="Global"/>
    <n v="2012"/>
    <s v="-"/>
    <s v="Firm"/>
    <s v="Firm"/>
    <s v="enabler"/>
    <m/>
    <s v="multi"/>
    <m/>
    <s v="https://www.hubofallthings.com/the-hat-ecosystem"/>
    <s v="https://www.hatcommunity.org/resources"/>
    <m/>
  </r>
  <r>
    <s v="iDataSwift"/>
    <n v="1"/>
    <n v="0"/>
    <n v="0"/>
    <n v="0"/>
    <x v="2"/>
    <s v="Global"/>
    <n v="2012"/>
    <s v="-"/>
    <s v="Firm"/>
    <s v="Firm"/>
    <s v="subject"/>
    <s v="enabler"/>
    <s v="multi"/>
    <m/>
    <s v="https://www.dataswift.io/legal/legal"/>
    <s v="https://opencommons.org/Dataswift "/>
    <m/>
  </r>
  <r>
    <s v="iGrant"/>
    <n v="0"/>
    <n v="0"/>
    <n v="0"/>
    <n v="0"/>
    <x v="9"/>
    <s v="Global"/>
    <n v="2017"/>
    <s v="-"/>
    <s v="Firm"/>
    <s v="Firm"/>
    <s v="subject"/>
    <s v="enabler"/>
    <s v="multi"/>
    <m/>
    <s v="https://docs.igrant.io/docs/"/>
    <s v="https://igrant.io/"/>
    <m/>
  </r>
  <r>
    <s v="ishare"/>
    <n v="0"/>
    <n v="0"/>
    <n v="0"/>
    <n v="0"/>
    <x v="1"/>
    <m/>
    <m/>
    <m/>
    <m/>
    <s v="NGO"/>
    <s v="enabler"/>
    <m/>
    <s v="multi"/>
    <m/>
    <s v="https://ishare.eu/about-ishare/benefits/for-data-owners/"/>
    <m/>
    <m/>
  </r>
  <r>
    <s v="Ivido"/>
    <n v="0"/>
    <n v="0"/>
    <n v="0"/>
    <n v="1"/>
    <x v="1"/>
    <s v="National"/>
    <n v="2014"/>
    <s v="-"/>
    <s v="Firm"/>
    <s v="Firm"/>
    <s v="subject"/>
    <m/>
    <s v="health"/>
    <s v="personal"/>
    <s v="https://ivido.nl/"/>
    <s v="https://ivido.nl/applicaties-voor-je-gezondheid/"/>
    <m/>
  </r>
  <r>
    <s v="JoinData"/>
    <n v="1"/>
    <n v="0"/>
    <n v="0"/>
    <n v="0"/>
    <x v="1"/>
    <m/>
    <n v="2017"/>
    <m/>
    <m/>
    <s v="Firm"/>
    <s v="enabler"/>
    <m/>
    <s v="agriculture"/>
    <s v="non-personal"/>
    <s v="https://join-data.nl/en/experience-stories/how-does-frieslandcampina-project-leader-laurens-guelen-experience-joindata/"/>
    <s v="https://join-data.nl/organisatie/"/>
    <m/>
  </r>
  <r>
    <s v="Lotame"/>
    <n v="0"/>
    <n v="0"/>
    <n v="0"/>
    <n v="0"/>
    <x v="4"/>
    <m/>
    <m/>
    <m/>
    <m/>
    <s v="Firm"/>
    <s v="enabler"/>
    <m/>
    <s v="multi"/>
    <m/>
    <s v="https://www.lotame.com/pdx/marketplace/"/>
    <m/>
    <m/>
  </r>
  <r>
    <s v="Luna"/>
    <n v="1"/>
    <n v="1"/>
    <n v="0"/>
    <n v="1"/>
    <x v="4"/>
    <m/>
    <m/>
    <m/>
    <m/>
    <s v="Firm"/>
    <s v="subject"/>
    <m/>
    <s v="health"/>
    <s v="personal"/>
    <s v="https://www.lunadna.com/individuals/"/>
    <m/>
    <m/>
  </r>
  <r>
    <s v="Marketplace.city"/>
    <n v="0"/>
    <n v="0"/>
    <n v="0"/>
    <n v="0"/>
    <x v="4"/>
    <m/>
    <m/>
    <m/>
    <m/>
    <m/>
    <s v="enabler"/>
    <m/>
    <s v="multi"/>
    <s v="non-personal"/>
    <s v="https://marketplace.city/news/"/>
    <m/>
    <m/>
  </r>
  <r>
    <s v="Medsafe"/>
    <n v="0"/>
    <n v="0"/>
    <n v="0"/>
    <n v="0"/>
    <x v="1"/>
    <s v="National"/>
    <n v="2022"/>
    <s v="-"/>
    <s v="Firm"/>
    <s v="Firm"/>
    <s v="subject"/>
    <m/>
    <s v="health"/>
    <s v="personal"/>
    <s v="https://mijn.medsafe.io/auth"/>
    <m/>
    <m/>
  </r>
  <r>
    <s v="medxpert"/>
    <n v="0"/>
    <n v="0"/>
    <n v="0"/>
    <n v="0"/>
    <x v="1"/>
    <s v="National"/>
    <n v="2015"/>
    <s v="-"/>
    <s v="Firm"/>
    <s v="Firm"/>
    <s v="subject"/>
    <m/>
    <s v="health"/>
    <s v="personal"/>
    <s v="https://www.medxpert.app/"/>
    <m/>
    <m/>
  </r>
  <r>
    <s v="Meeco"/>
    <n v="0"/>
    <n v="0"/>
    <n v="0"/>
    <n v="0"/>
    <x v="7"/>
    <s v="Global"/>
    <n v="2012"/>
    <s v="-"/>
    <s v="Firm"/>
    <s v="Firm"/>
    <s v="enabler"/>
    <s v="subject"/>
    <s v="multi"/>
    <m/>
    <s v="https://www.meeco.me/meeco-whitepaper"/>
    <s v="https://www.meeco.me/"/>
    <m/>
  </r>
  <r>
    <s v="MIJNPGO"/>
    <n v="0"/>
    <n v="0"/>
    <n v="0"/>
    <n v="0"/>
    <x v="1"/>
    <s v="National"/>
    <n v="2019"/>
    <s v="-"/>
    <s v="Firm"/>
    <s v="Firm"/>
    <s v="subject"/>
    <m/>
    <s v="health"/>
    <s v="personal"/>
    <s v="https://mijnpgo.org/"/>
    <m/>
    <m/>
  </r>
  <r>
    <s v="MyDataMood"/>
    <n v="0"/>
    <n v="0"/>
    <n v="0"/>
    <n v="0"/>
    <x v="10"/>
    <s v="Global"/>
    <n v="2019"/>
    <s v="-"/>
    <s v="Firm"/>
    <s v="Firm"/>
    <s v="subject"/>
    <m/>
    <s v="multi"/>
    <m/>
    <s v="https://mydatamood.com"/>
    <m/>
    <m/>
  </r>
  <r>
    <s v="Mydex"/>
    <n v="0"/>
    <n v="0"/>
    <n v="0"/>
    <n v="0"/>
    <x v="2"/>
    <s v="Global"/>
    <n v="2007"/>
    <s v="-"/>
    <s v="Firm"/>
    <s v="Firm"/>
    <s v="enabler"/>
    <s v="subject"/>
    <s v="multi"/>
    <m/>
    <s v="https://mydex.org/platform-services/#inclued"/>
    <m/>
    <m/>
  </r>
  <r>
    <s v="Myfairdata"/>
    <n v="0"/>
    <n v="0"/>
    <n v="0"/>
    <n v="0"/>
    <x v="5"/>
    <s v="Global"/>
    <n v="2020"/>
    <s v="-"/>
    <s v="Firm"/>
    <s v="Firm"/>
    <s v="subject"/>
    <m/>
    <s v="multi"/>
    <m/>
    <s v="https://myfairdata.com/"/>
    <m/>
    <m/>
  </r>
  <r>
    <s v="Ockto"/>
    <n v="0"/>
    <n v="0"/>
    <n v="0"/>
    <n v="0"/>
    <x v="1"/>
    <s v="National"/>
    <n v="2017"/>
    <s v="-"/>
    <s v="Firm"/>
    <s v="Firm"/>
    <s v="subject"/>
    <m/>
    <s v="multi"/>
    <s v="personal"/>
    <s v="https://ockto.eu/faq"/>
    <m/>
    <m/>
  </r>
  <r>
    <s v="OneCub"/>
    <n v="1"/>
    <n v="0"/>
    <n v="0"/>
    <n v="0"/>
    <x v="5"/>
    <s v="Global"/>
    <n v="2011"/>
    <s v="-"/>
    <s v="Firm"/>
    <s v="Firm"/>
    <s v="enabler"/>
    <s v="subject"/>
    <m/>
    <m/>
    <s v="https://www.onecub.com/solution/"/>
    <m/>
    <m/>
  </r>
  <r>
    <s v="Ozone.ai"/>
    <n v="0"/>
    <n v="0"/>
    <n v="0"/>
    <n v="0"/>
    <x v="4"/>
    <m/>
    <m/>
    <m/>
    <m/>
    <s v="Firm"/>
    <s v="subject"/>
    <m/>
    <m/>
    <m/>
    <s v="https://web.archive.org/web/20201007100812/https://www.ozone.ai/"/>
    <m/>
    <m/>
  </r>
  <r>
    <s v="Patients Know Best"/>
    <n v="1"/>
    <n v="1"/>
    <n v="0"/>
    <n v="1"/>
    <x v="2"/>
    <s v="Regional"/>
    <n v="2008"/>
    <s v="-"/>
    <s v="Firm"/>
    <s v="Firm"/>
    <s v="subject"/>
    <m/>
    <s v="health"/>
    <s v="personal"/>
    <s v="https://patientsknowbest.com/about/"/>
    <s v="https://patientsknowbest.com/commissioners/"/>
    <m/>
  </r>
  <r>
    <s v="Personium"/>
    <n v="0"/>
    <n v="0"/>
    <n v="0"/>
    <n v="1"/>
    <x v="11"/>
    <s v="Regional"/>
    <n v="2008"/>
    <s v="-"/>
    <s v="Firm"/>
    <s v="Firm"/>
    <s v="subject"/>
    <m/>
    <s v="multi"/>
    <m/>
    <s v="https://personium.io"/>
    <m/>
    <m/>
  </r>
  <r>
    <s v="PIMCity"/>
    <n v="1"/>
    <n v="0"/>
    <n v="1"/>
    <n v="1"/>
    <x v="12"/>
    <s v="Global"/>
    <n v="2020"/>
    <s v="-"/>
    <s v="State"/>
    <s v="State-NGO-FIrm"/>
    <s v="subject"/>
    <m/>
    <s v="multi"/>
    <m/>
    <s v="https://www.pimcity-h2020.eu/about-the-technology/"/>
    <s v="https://www.pimcity-h2020.eu/consortium/"/>
    <m/>
  </r>
  <r>
    <s v="PolyPoly"/>
    <n v="0"/>
    <n v="0"/>
    <n v="0"/>
    <n v="0"/>
    <x v="13"/>
    <s v="Regional"/>
    <n v="2019"/>
    <s v="-"/>
    <s v="Firm"/>
    <s v="Firm"/>
    <s v="subject"/>
    <m/>
    <m/>
    <m/>
    <s v="https://polypoly-citizens.eu"/>
    <m/>
    <m/>
  </r>
  <r>
    <s v="Prifina"/>
    <n v="0"/>
    <n v="0"/>
    <n v="0"/>
    <n v="0"/>
    <x v="4"/>
    <s v="Global"/>
    <n v="2017"/>
    <s v="-"/>
    <s v="Firm"/>
    <s v="Firm"/>
    <s v="subject"/>
    <m/>
    <s v="multi"/>
    <s v="personal"/>
    <s v="https://www.prifina.com/core-concept.html "/>
    <m/>
    <m/>
  </r>
  <r>
    <s v="Qii"/>
    <n v="0"/>
    <n v="0"/>
    <n v="0"/>
    <n v="0"/>
    <x v="1"/>
    <s v="National"/>
    <n v="2015"/>
    <s v="-"/>
    <s v="Firm"/>
    <s v="Firm"/>
    <s v="subject"/>
    <m/>
    <s v="multi"/>
    <m/>
    <s v="https://www.qii.nl/over-ons"/>
    <m/>
    <m/>
  </r>
  <r>
    <s v="QIY"/>
    <n v="0"/>
    <n v="0"/>
    <n v="0"/>
    <n v="0"/>
    <x v="1"/>
    <s v="Global"/>
    <n v="2007"/>
    <s v="-"/>
    <s v="NGO"/>
    <s v="NGO-Firm"/>
    <s v="enabler"/>
    <s v="subject"/>
    <m/>
    <m/>
    <s v="https://www.qiyfoundation.org/qiy-scheme/what-is-a-scheme/organisation/"/>
    <m/>
    <m/>
  </r>
  <r>
    <s v="Quli"/>
    <n v="1"/>
    <n v="0"/>
    <n v="0"/>
    <n v="0"/>
    <x v="1"/>
    <s v="National"/>
    <n v="2013"/>
    <s v="-"/>
    <s v="Firm"/>
    <s v="Firm"/>
    <s v="subject"/>
    <s v="enabler"/>
    <s v="health"/>
    <s v="personal"/>
    <s v="https://www.quli.nl/quli-voor-patientgroepen/"/>
    <m/>
    <m/>
  </r>
  <r>
    <s v="Seedlinked"/>
    <n v="1"/>
    <n v="1"/>
    <n v="0"/>
    <n v="1"/>
    <x v="4"/>
    <m/>
    <m/>
    <m/>
    <m/>
    <s v="Firm"/>
    <s v="enabler"/>
    <m/>
    <s v="agriculture"/>
    <s v="non-personal"/>
    <s v="https://seedlinked.com/our-grower-network/"/>
    <s v="https://seedlinked.com/run-variety-trials-on-seedlinked/for-other-trialing-organizations/"/>
    <m/>
  </r>
  <r>
    <s v="Selfcare"/>
    <n v="1"/>
    <n v="1"/>
    <n v="0"/>
    <n v="1"/>
    <x v="1"/>
    <s v="National"/>
    <n v="2015"/>
    <s v="-"/>
    <s v="Firm"/>
    <s v="Firm"/>
    <s v="subject"/>
    <m/>
    <s v="health"/>
    <s v="personal"/>
    <s v="https://selfcare4me.com/gezondheidsexperimenten-met-salut-voor-een-gezonder-nederland/"/>
    <s v="https://selfcare4me.com/selfcareresearch-real-world-data/"/>
    <m/>
  </r>
  <r>
    <s v="Snowflake"/>
    <n v="0"/>
    <n v="0"/>
    <n v="0"/>
    <n v="0"/>
    <x v="4"/>
    <m/>
    <m/>
    <m/>
    <m/>
    <s v="Firm"/>
    <s v="enabler"/>
    <m/>
    <s v="multi"/>
    <s v="non-personal"/>
    <s v="https://www.snowflake.com/en/data-cloud/marketplace/"/>
    <m/>
    <m/>
  </r>
  <r>
    <s v="Solid"/>
    <n v="1"/>
    <n v="0"/>
    <n v="0"/>
    <n v="1"/>
    <x v="2"/>
    <s v="Global"/>
    <n v="2016"/>
    <s v="-"/>
    <s v="Firm"/>
    <s v="Firm"/>
    <s v="subject"/>
    <m/>
    <s v="multi"/>
    <s v="multi"/>
    <s v="https://solidproject.org/users/get-a-pod"/>
    <s v="https://solidproject.org/labs"/>
    <m/>
  </r>
  <r>
    <s v="Streamr"/>
    <n v="0"/>
    <n v="0"/>
    <n v="0"/>
    <n v="0"/>
    <x v="0"/>
    <s v="Global"/>
    <n v="2017"/>
    <s v="-"/>
    <s v="Firm"/>
    <s v="Firm"/>
    <s v="enabler"/>
    <m/>
    <s v="multi"/>
    <m/>
    <s v="https://docs.streamr.network/"/>
    <m/>
    <m/>
  </r>
  <r>
    <s v="Swarm"/>
    <n v="0"/>
    <n v="0"/>
    <n v="0"/>
    <n v="0"/>
    <x v="0"/>
    <s v="Global"/>
    <n v="2018"/>
    <s v="-"/>
    <s v="NGO"/>
    <s v="NGO"/>
    <s v="enabler"/>
    <m/>
    <s v="multi"/>
    <m/>
    <s v="https://www.ethswarm.org/foundation"/>
    <m/>
    <m/>
  </r>
  <r>
    <s v="swashapp"/>
    <n v="0"/>
    <n v="0"/>
    <n v="0"/>
    <n v="0"/>
    <x v="2"/>
    <m/>
    <m/>
    <m/>
    <m/>
    <s v="Firm"/>
    <s v="subject"/>
    <s v="cooperative"/>
    <s v="multi"/>
    <m/>
    <s v="https://swashapp.io/"/>
    <m/>
    <m/>
  </r>
  <r>
    <s v="Uw Zorg online"/>
    <n v="0"/>
    <n v="0"/>
    <n v="0"/>
    <n v="0"/>
    <x v="1"/>
    <s v="National"/>
    <n v="2020"/>
    <s v="-"/>
    <s v="Firm"/>
    <s v="Firm"/>
    <s v="subject"/>
    <m/>
    <s v="health"/>
    <s v="personal"/>
    <s v="https://uwzorgonline.nl/"/>
    <m/>
    <m/>
  </r>
  <r>
    <s v="Visions"/>
    <n v="0"/>
    <n v="0"/>
    <n v="0"/>
    <n v="0"/>
    <x v="5"/>
    <s v="Regional"/>
    <n v="2017"/>
    <s v="-"/>
    <s v="Firm"/>
    <s v="Firm"/>
    <s v="enabler"/>
    <m/>
    <s v="multi"/>
    <m/>
    <s v="https://visionspol.eu/infrastructure/"/>
    <s v="https://visionspol.eu/gouvernance/"/>
    <m/>
  </r>
  <r>
    <s v="VitaalBank"/>
    <n v="0"/>
    <n v="0"/>
    <n v="0"/>
    <n v="0"/>
    <x v="1"/>
    <s v="National"/>
    <n v="2022"/>
    <s v="-"/>
    <s v="Firm"/>
    <s v="Firm"/>
    <s v="subject"/>
    <m/>
    <s v="health"/>
    <s v="personal"/>
    <s v="https://www.vitaalbank.nl/product/"/>
    <s v="https://graydongo.nl/nl/nl-elektrotechniek-vitaalbank-bv-utrecht-86090593"/>
    <m/>
  </r>
  <r>
    <s v="Weople"/>
    <n v="0"/>
    <n v="0"/>
    <n v="0"/>
    <n v="0"/>
    <x v="12"/>
    <s v="Global"/>
    <n v="2019"/>
    <m/>
    <s v="Firm"/>
    <s v="Firm"/>
    <s v="subject"/>
    <m/>
    <s v="multi"/>
    <s v="personal"/>
    <s v="https://weople.space/en/"/>
    <m/>
    <m/>
  </r>
  <r>
    <s v="X-Road"/>
    <n v="0"/>
    <n v="0"/>
    <n v="0"/>
    <n v="0"/>
    <x v="14"/>
    <m/>
    <m/>
    <m/>
    <m/>
    <s v="State"/>
    <s v="enabler"/>
    <m/>
    <s v="multi"/>
    <m/>
    <s v="https://x-road.global/secure-data-exchange-to-the-japanese-energy-sector"/>
    <m/>
    <m/>
  </r>
  <r>
    <s v="Yivi (ex IRMA)"/>
    <n v="0"/>
    <n v="0"/>
    <n v="0"/>
    <n v="0"/>
    <x v="1"/>
    <s v="Global"/>
    <n v="2016"/>
    <m/>
    <s v="NGO"/>
    <s v="NGO"/>
    <s v="subject"/>
    <m/>
    <s v="multi"/>
    <s v="personal"/>
    <s v="https://www.yivi.app/"/>
    <m/>
    <m/>
  </r>
  <r>
    <s v="Zodos"/>
    <n v="0"/>
    <n v="0"/>
    <n v="0"/>
    <n v="0"/>
    <x v="1"/>
    <s v="National"/>
    <n v="2017"/>
    <s v="-"/>
    <s v="Firm"/>
    <s v="Firm"/>
    <s v="subject"/>
    <m/>
    <s v="health"/>
    <s v="personal"/>
    <s v="https://www.zodos.nl/"/>
    <m/>
    <m/>
  </r>
  <r>
    <s v="Zorgdoc"/>
    <n v="0"/>
    <n v="0"/>
    <n v="0"/>
    <n v="0"/>
    <x v="1"/>
    <s v="National"/>
    <n v="2021"/>
    <s v="-"/>
    <s v="Firm"/>
    <s v="Firm"/>
    <s v="subject"/>
    <m/>
    <s v="health"/>
    <s v="personal"/>
    <s v="https://www.zorgdoc.nl/"/>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5678CD-6D39-4FAE-B12A-91B50E833C85}"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9">
  <location ref="A3:B18" firstHeaderRow="1" firstDataRow="1" firstDataCol="1"/>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sortType="ascending" defaultSubtotal="0">
      <items count="15">
        <item x="7"/>
        <item x="8"/>
        <item x="3"/>
        <item x="14"/>
        <item x="5"/>
        <item x="13"/>
        <item x="12"/>
        <item x="11"/>
        <item x="1"/>
        <item x="6"/>
        <item x="10"/>
        <item x="9"/>
        <item x="0"/>
        <item x="2"/>
        <item x="4"/>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5"/>
  </rowFields>
  <rowItems count="15">
    <i>
      <x v="7"/>
    </i>
    <i>
      <x v="3"/>
    </i>
    <i>
      <x v="11"/>
    </i>
    <i>
      <x v="5"/>
    </i>
    <i>
      <x v="2"/>
    </i>
    <i>
      <x v="10"/>
    </i>
    <i>
      <x/>
    </i>
    <i>
      <x v="9"/>
    </i>
    <i>
      <x v="1"/>
    </i>
    <i>
      <x v="6"/>
    </i>
    <i>
      <x v="12"/>
    </i>
    <i>
      <x v="4"/>
    </i>
    <i>
      <x v="13"/>
    </i>
    <i>
      <x v="14"/>
    </i>
    <i>
      <x v="8"/>
    </i>
  </rowItems>
  <colItems count="1">
    <i/>
  </colItems>
  <dataFields count="1">
    <dataField name="Count of country" fld="5"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Denmark" TargetMode="External"/><Relationship Id="rId13" Type="http://schemas.openxmlformats.org/officeDocument/2006/relationships/hyperlink" Target="https://www.bing.com/th?id=OSK.d603cc664aacae23506060091bb6f52d&amp;qlt=95" TargetMode="External"/><Relationship Id="rId18" Type="http://schemas.openxmlformats.org/officeDocument/2006/relationships/hyperlink" Target="https://www.bing.com/images/search?form=xlimg&amp;q=Belgium" TargetMode="External"/><Relationship Id="rId26" Type="http://schemas.openxmlformats.org/officeDocument/2006/relationships/hyperlink" Target="https://www.bing.com/images/search?form=xlimg&amp;q=Germany" TargetMode="External"/><Relationship Id="rId3" Type="http://schemas.openxmlformats.org/officeDocument/2006/relationships/hyperlink" Target="https://www.bing.com/th?id=OSK.c539b9f51fab19118f14abd9eedad36f&amp;qlt=95" TargetMode="External"/><Relationship Id="rId21" Type="http://schemas.openxmlformats.org/officeDocument/2006/relationships/hyperlink" Target="https://www.bing.com/th?id=OSK.2e5ae37a1125e977eb781fe1567bce8a&amp;qlt=95" TargetMode="External"/><Relationship Id="rId7" Type="http://schemas.openxmlformats.org/officeDocument/2006/relationships/hyperlink" Target="https://www.bing.com/th?id=OSK.9131f9cc50427b26d6b4964a5feb9d7e&amp;qlt=95" TargetMode="External"/><Relationship Id="rId12" Type="http://schemas.openxmlformats.org/officeDocument/2006/relationships/hyperlink" Target="https://www.bing.com/images/search?form=xlimg&amp;q=France" TargetMode="External"/><Relationship Id="rId17" Type="http://schemas.openxmlformats.org/officeDocument/2006/relationships/hyperlink" Target="https://www.bing.com/th?id=OSK.2b217791d891197149ff8b7bd75557d4&amp;qlt=95" TargetMode="External"/><Relationship Id="rId25" Type="http://schemas.openxmlformats.org/officeDocument/2006/relationships/hyperlink" Target="https://www.bing.com/th?id=OSK.069131000560befb534af2ef73d1a94a&amp;qlt=95" TargetMode="External"/><Relationship Id="rId2" Type="http://schemas.openxmlformats.org/officeDocument/2006/relationships/hyperlink" Target="https://www.bing.com/images/search?form=xlimg&amp;q=Switzerland" TargetMode="External"/><Relationship Id="rId16" Type="http://schemas.openxmlformats.org/officeDocument/2006/relationships/hyperlink" Target="https://www.bing.com/images/search?form=xlimg&amp;q=Australia" TargetMode="External"/><Relationship Id="rId20" Type="http://schemas.openxmlformats.org/officeDocument/2006/relationships/hyperlink" Target="https://www.bing.com/images/search?form=xlimg&amp;q=Sweden" TargetMode="External"/><Relationship Id="rId29" Type="http://schemas.openxmlformats.org/officeDocument/2006/relationships/hyperlink" Target="https://www.bing.com/th?id=OSK.9d55aba0ec42b97a9c2ea9fa3f7fb22c&amp;qlt=95" TargetMode="External"/><Relationship Id="rId1" Type="http://schemas.openxmlformats.org/officeDocument/2006/relationships/hyperlink" Target="https://www.bing.com/th?id=OSK.f7fdc0797674edd230ee73aba17b77d2&amp;qlt=95" TargetMode="External"/><Relationship Id="rId6" Type="http://schemas.openxmlformats.org/officeDocument/2006/relationships/hyperlink" Target="https://www.bing.com/images/search?form=xlimg&amp;q=United%20Kingdom" TargetMode="External"/><Relationship Id="rId11" Type="http://schemas.openxmlformats.org/officeDocument/2006/relationships/hyperlink" Target="https://www.bing.com/th?id=OSK.3bedf56b22d99dfbb70510919895554c&amp;qlt=95" TargetMode="External"/><Relationship Id="rId24" Type="http://schemas.openxmlformats.org/officeDocument/2006/relationships/hyperlink" Target="https://www.bing.com/images/search?form=xlimg&amp;q=Japan" TargetMode="External"/><Relationship Id="rId5" Type="http://schemas.openxmlformats.org/officeDocument/2006/relationships/hyperlink" Target="https://www.bing.com/th?id=OSK.1a33b5115bfc290abc8869de29ebd567&amp;qlt=95" TargetMode="External"/><Relationship Id="rId15" Type="http://schemas.openxmlformats.org/officeDocument/2006/relationships/hyperlink" Target="https://www.bing.com/th?id=OSK.bed9fc3690f3414a4850855fee332f1c&amp;qlt=95" TargetMode="External"/><Relationship Id="rId23" Type="http://schemas.openxmlformats.org/officeDocument/2006/relationships/hyperlink" Target="https://www.bing.com/th?id=OSK.8ebe72baea948e8caf5b6567463e7d0d&amp;qlt=95" TargetMode="External"/><Relationship Id="rId28" Type="http://schemas.openxmlformats.org/officeDocument/2006/relationships/hyperlink" Target="https://www.bing.com/images/search?form=xlimg&amp;q=Italy" TargetMode="External"/><Relationship Id="rId10" Type="http://schemas.openxmlformats.org/officeDocument/2006/relationships/hyperlink" Target="https://www.bing.com/images/search?form=xlimg&amp;q=United%20States" TargetMode="External"/><Relationship Id="rId19" Type="http://schemas.openxmlformats.org/officeDocument/2006/relationships/hyperlink" Target="https://www.bing.com/th?id=OSK.66c2ebf9a8cace2226269d70b1d3b0fc&amp;qlt=95" TargetMode="External"/><Relationship Id="rId4" Type="http://schemas.openxmlformats.org/officeDocument/2006/relationships/hyperlink" Target="https://www.bing.com/images/search?form=xlimg&amp;q=Netherlands" TargetMode="External"/><Relationship Id="rId9" Type="http://schemas.openxmlformats.org/officeDocument/2006/relationships/hyperlink" Target="https://www.bing.com/th?id=OSK.08d481ce2e6378c8b3492a5438438208&amp;qlt=95" TargetMode="External"/><Relationship Id="rId14" Type="http://schemas.openxmlformats.org/officeDocument/2006/relationships/hyperlink" Target="https://www.bing.com/images/search?form=xlimg&amp;q=Slovenia" TargetMode="External"/><Relationship Id="rId22" Type="http://schemas.openxmlformats.org/officeDocument/2006/relationships/hyperlink" Target="https://www.bing.com/images/search?form=xlimg&amp;q=Spain" TargetMode="External"/><Relationship Id="rId27" Type="http://schemas.openxmlformats.org/officeDocument/2006/relationships/hyperlink" Target="https://www.bing.com/th?id=OSK.0aeae1745f90d6554dcba2bd716fe8fb&amp;qlt=95" TargetMode="External"/><Relationship Id="rId30" Type="http://schemas.openxmlformats.org/officeDocument/2006/relationships/hyperlink" Target="https://www.bing.com/images/search?form=xlimg&amp;q=Estonia"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Srd>
</file>

<file path=xl/richData/rdarray.xml><?xml version="1.0" encoding="utf-8"?>
<arrayData xmlns="http://schemas.microsoft.com/office/spreadsheetml/2017/richdata2" count="53">
  <a r="1">
    <v t="r">21</v>
  </a>
  <a r="4">
    <v t="s">Italian language</v>
    <v t="s">Romansh language</v>
    <v t="s">German language</v>
    <v t="s">French language</v>
  </a>
  <a r="26">
    <v t="r">39</v>
    <v t="r">40</v>
    <v t="r">41</v>
    <v t="r">42</v>
    <v t="r">43</v>
    <v t="r">44</v>
    <v t="r">45</v>
    <v t="r">46</v>
    <v t="r">47</v>
    <v t="r">48</v>
    <v t="r">49</v>
    <v t="r">50</v>
    <v t="r">51</v>
    <v t="r">52</v>
    <v t="r">53</v>
    <v t="r">54</v>
    <v t="r">55</v>
    <v t="r">56</v>
    <v t="r">57</v>
    <v t="r">58</v>
    <v t="r">59</v>
    <v t="r">60</v>
    <v t="r">61</v>
    <v t="r">62</v>
    <v t="r">63</v>
    <v t="r">64</v>
  </a>
  <a r="3">
    <v t="s">Central European Time</v>
    <v t="s">UTC+02:00</v>
    <v t="s">UTC+01:00</v>
  </a>
  <a r="2">
    <v t="r">92</v>
    <v t="r">93</v>
  </a>
  <a r="1">
    <v t="s">Dutch language</v>
  </a>
  <a r="14">
    <v t="r">111</v>
    <v t="r">112</v>
    <v t="r">113</v>
    <v t="r">114</v>
    <v t="r">115</v>
    <v t="r">116</v>
    <v t="r">117</v>
    <v t="r">118</v>
    <v t="r">119</v>
    <v t="r">120</v>
    <v t="r">121</v>
    <v t="r">122</v>
    <v t="r">123</v>
    <v t="r">124</v>
  </a>
  <a r="1">
    <v t="s">Central European Time</v>
  </a>
  <a r="2">
    <v t="r">152</v>
    <v t="r">153</v>
  </a>
  <a r="1">
    <v t="s">English language</v>
  </a>
  <a r="4">
    <v t="r">172</v>
    <v t="r">173</v>
    <v t="r">174</v>
    <v t="r">175</v>
  </a>
  <a r="2">
    <v t="s">Greenwich Mean Time</v>
    <v t="s">Western European Time</v>
  </a>
  <a r="2">
    <v t="r">202</v>
    <v t="r">203</v>
  </a>
  <a r="1">
    <v t="s">Danish language</v>
  </a>
  <a r="5">
    <v t="r">221</v>
    <v t="r">222</v>
    <v t="r">223</v>
    <v t="r">224</v>
    <v t="r">225</v>
  </a>
  <a r="3">
    <v t="r">253</v>
    <v t="r">254</v>
    <v t="r">255</v>
  </a>
  <a r="55">
    <v t="r">273</v>
    <v t="r">274</v>
    <v t="r">275</v>
    <v t="r">276</v>
    <v t="r">277</v>
    <v t="r">278</v>
    <v t="r">279</v>
    <v t="r">280</v>
    <v t="r">281</v>
    <v t="r">282</v>
    <v t="r">283</v>
    <v t="r">284</v>
    <v t="r">285</v>
    <v t="r">286</v>
    <v t="r">287</v>
    <v t="r">288</v>
    <v t="r">289</v>
    <v t="r">290</v>
    <v t="r">291</v>
    <v t="r">292</v>
    <v t="r">293</v>
    <v t="r">294</v>
    <v t="r">295</v>
    <v t="r">296</v>
    <v t="r">297</v>
    <v t="r">298</v>
    <v t="r">299</v>
    <v t="r">300</v>
    <v t="r">301</v>
    <v t="r">302</v>
    <v t="r">303</v>
    <v t="r">304</v>
    <v t="r">305</v>
    <v t="r">306</v>
    <v t="r">307</v>
    <v t="r">308</v>
    <v t="r">309</v>
    <v t="r">310</v>
    <v t="r">311</v>
    <v t="r">312</v>
    <v t="r">313</v>
    <v t="r">314</v>
    <v t="r">315</v>
    <v t="r">316</v>
    <v t="r">317</v>
    <v t="r">318</v>
    <v t="r">319</v>
    <v t="r">320</v>
    <v t="r">321</v>
    <v t="r">322</v>
    <v t="r">323</v>
    <v t="r">324</v>
    <v t="r">325</v>
    <v t="r">326</v>
    <v t="r">327</v>
  </a>
  <a r="6">
    <v t="s">Central Time Zone</v>
    <v t="s">Atlantic Time Zone</v>
    <v t="s">Chamorro Time Zone</v>
    <v t="s">Samoa Time Zone</v>
    <v t="s">Alaska Time Zone</v>
    <v t="s">Mountain Time Zone</v>
  </a>
  <a r="2">
    <v t="r">355</v>
    <v t="r">356</v>
  </a>
  <a r="1">
    <v t="s">French language</v>
  </a>
  <a r="41">
    <v t="r">374</v>
    <v t="r">375</v>
    <v t="r">376</v>
    <v t="r">377</v>
    <v t="r">378</v>
    <v t="r">379</v>
    <v t="r">380</v>
    <v t="r">381</v>
    <v t="r">382</v>
    <v t="r">383</v>
    <v t="r">384</v>
    <v t="r">385</v>
    <v t="r">386</v>
    <v t="r">387</v>
    <v t="r">388</v>
    <v t="r">389</v>
    <v t="r">390</v>
    <v t="r">391</v>
    <v t="r">392</v>
    <v t="r">393</v>
    <v t="r">394</v>
    <v t="r">395</v>
    <v t="r">396</v>
    <v t="r">397</v>
    <v t="r">398</v>
    <v t="r">399</v>
    <v t="r">400</v>
    <v t="r">401</v>
    <v t="r">402</v>
    <v t="r">403</v>
    <v t="r">404</v>
    <v t="r">405</v>
    <v t="r">406</v>
    <v t="r">407</v>
    <v t="r">408</v>
    <v t="r">409</v>
    <v t="r">410</v>
    <v t="r">411</v>
    <v t="r">412</v>
    <v t="r">413</v>
    <v t="r">414</v>
  </a>
  <a r="2">
    <v t="s">Central European Time</v>
    <v t="s">Central European Summer Time</v>
  </a>
  <a r="2">
    <v t="r">442</v>
    <v t="r">443</v>
  </a>
  <a r="1">
    <v t="s">Slovene language</v>
  </a>
  <a r="210">
    <v t="r">460</v>
    <v t="r">461</v>
    <v t="r">462</v>
    <v t="r">463</v>
    <v t="r">464</v>
    <v t="r">465</v>
    <v t="r">466</v>
    <v t="r">467</v>
    <v t="r">468</v>
    <v t="r">469</v>
    <v t="r">470</v>
    <v t="r">471</v>
    <v t="r">472</v>
    <v t="r">473</v>
    <v t="r">474</v>
    <v t="r">475</v>
    <v t="r">476</v>
    <v t="r">477</v>
    <v t="r">478</v>
    <v t="r">479</v>
    <v t="r">480</v>
    <v t="r">481</v>
    <v t="r">482</v>
    <v t="r">483</v>
    <v t="r">484</v>
    <v t="r">485</v>
    <v t="r">486</v>
    <v t="r">487</v>
    <v t="r">488</v>
    <v t="r">489</v>
    <v t="r">490</v>
    <v t="r">491</v>
    <v t="r">492</v>
    <v t="r">493</v>
    <v t="r">494</v>
    <v t="r">495</v>
    <v t="r">496</v>
    <v t="r">497</v>
    <v t="r">498</v>
    <v t="r">499</v>
    <v t="r">500</v>
    <v t="r">501</v>
    <v t="r">502</v>
    <v t="r">503</v>
    <v t="r">504</v>
    <v t="r">505</v>
    <v t="r">506</v>
    <v t="r">507</v>
    <v t="r">508</v>
    <v t="r">509</v>
    <v t="r">510</v>
    <v t="r">511</v>
    <v t="r">512</v>
    <v t="r">513</v>
    <v t="r">514</v>
    <v t="r">515</v>
    <v t="r">516</v>
    <v t="r">517</v>
    <v t="r">518</v>
    <v t="r">519</v>
    <v t="r">520</v>
    <v t="r">521</v>
    <v t="r">522</v>
    <v t="r">523</v>
    <v t="r">524</v>
    <v t="r">525</v>
    <v t="r">526</v>
    <v t="r">527</v>
    <v t="r">528</v>
    <v t="r">529</v>
    <v t="r">530</v>
    <v t="r">531</v>
    <v t="r">532</v>
    <v t="r">533</v>
    <v t="r">534</v>
    <v t="r">535</v>
    <v t="r">536</v>
    <v t="r">537</v>
    <v t="r">538</v>
    <v t="r">539</v>
    <v t="r">540</v>
    <v t="r">541</v>
    <v t="r">542</v>
    <v t="r">543</v>
    <v t="r">544</v>
    <v t="r">545</v>
    <v t="r">546</v>
    <v t="r">547</v>
    <v t="r">548</v>
    <v t="r">549</v>
    <v t="r">550</v>
    <v t="r">551</v>
    <v t="r">552</v>
    <v t="r">553</v>
    <v t="r">554</v>
    <v t="r">555</v>
    <v t="r">556</v>
    <v t="r">557</v>
    <v t="r">558</v>
    <v t="r">559</v>
    <v t="r">560</v>
    <v t="r">561</v>
    <v t="r">562</v>
    <v t="r">563</v>
    <v t="r">564</v>
    <v t="r">565</v>
    <v t="r">566</v>
    <v t="r">567</v>
    <v t="r">568</v>
    <v t="r">569</v>
    <v t="r">570</v>
    <v t="r">571</v>
    <v t="r">572</v>
    <v t="r">573</v>
    <v t="r">574</v>
    <v t="r">575</v>
    <v t="r">576</v>
    <v t="r">577</v>
    <v t="r">578</v>
    <v t="r">579</v>
    <v t="r">580</v>
    <v t="r">581</v>
    <v t="r">582</v>
    <v t="r">583</v>
    <v t="r">584</v>
    <v t="r">585</v>
    <v t="r">586</v>
    <v t="r">587</v>
    <v t="r">588</v>
    <v t="r">589</v>
    <v t="r">590</v>
    <v t="r">591</v>
    <v t="r">592</v>
    <v t="r">593</v>
    <v t="r">594</v>
    <v t="r">595</v>
    <v t="r">596</v>
    <v t="r">597</v>
    <v t="r">598</v>
    <v t="r">599</v>
    <v t="r">600</v>
    <v t="r">601</v>
    <v t="r">602</v>
    <v t="r">603</v>
    <v t="r">604</v>
    <v t="r">605</v>
    <v t="r">606</v>
    <v t="r">607</v>
    <v t="r">608</v>
    <v t="r">609</v>
    <v t="r">610</v>
    <v t="r">611</v>
    <v t="r">612</v>
    <v t="r">613</v>
    <v t="r">614</v>
    <v t="r">615</v>
    <v t="r">616</v>
    <v t="r">617</v>
    <v t="r">618</v>
    <v t="r">619</v>
    <v t="r">620</v>
    <v t="r">621</v>
    <v t="r">622</v>
    <v t="r">623</v>
    <v t="r">624</v>
    <v t="r">625</v>
    <v t="r">626</v>
    <v t="r">627</v>
    <v t="r">628</v>
    <v t="r">629</v>
    <v t="r">630</v>
    <v t="r">631</v>
    <v t="r">632</v>
    <v t="r">633</v>
    <v t="r">634</v>
    <v t="r">635</v>
    <v t="r">636</v>
    <v t="r">637</v>
    <v t="r">638</v>
    <v t="r">639</v>
    <v t="r">640</v>
    <v t="r">641</v>
    <v t="r">642</v>
    <v t="r">643</v>
    <v t="r">644</v>
    <v t="r">645</v>
    <v t="r">646</v>
    <v t="r">647</v>
    <v t="r">648</v>
    <v t="r">649</v>
    <v t="r">650</v>
    <v t="r">651</v>
    <v t="r">652</v>
    <v t="r">653</v>
    <v t="r">654</v>
    <v t="r">655</v>
    <v t="r">656</v>
    <v t="r">657</v>
    <v t="r">658</v>
    <v t="r">659</v>
    <v t="r">660</v>
    <v t="r">661</v>
    <v t="r">662</v>
    <v t="r">663</v>
    <v t="r">664</v>
    <v t="r">665</v>
    <v t="r">666</v>
    <v t="r">667</v>
    <v t="r">668</v>
    <v t="r">669</v>
  </a>
  <a r="2">
    <v t="r">697</v>
    <v t="r">153</v>
  </a>
  <a r="16">
    <v t="r">713</v>
    <v t="r">714</v>
    <v t="r">715</v>
    <v t="r">716</v>
    <v t="r">717</v>
    <v t="r">718</v>
    <v t="r">719</v>
    <v t="r">720</v>
    <v t="r">721</v>
    <v t="r">722</v>
    <v t="r">723</v>
    <v t="r">724</v>
    <v t="r">725</v>
    <v t="r">726</v>
    <v t="r">727</v>
    <v t="r">728</v>
  </a>
  <a r="12">
    <v t="s">Norfolk Time Zone</v>
    <v t="s">Lord Howe Time Zone</v>
    <v t="s">Australian Eastern Time Zone</v>
    <v t="s">Australian Central Time Zone</v>
    <v t="s">Central Western Time Zone</v>
    <v t="s">Australian Western Time Zone</v>
    <v t="s">Casey Time Zone</v>
    <v t="s">Christmas Island Time Zone</v>
    <v t="s">Davis Time Zone</v>
    <v t="s">Cocos Islands Time Zone</v>
    <v t="s">Heard and McDonald Islands Time Zone</v>
    <v t="s">Mawson Station Time Zone</v>
  </a>
  <a r="2">
    <v t="r">756</v>
    <v t="r">757</v>
  </a>
  <a r="3">
    <v t="s">Dutch language</v>
    <v t="s">German language</v>
    <v t="s">French language</v>
  </a>
  <a r="6">
    <v t="r">774</v>
    <v t="r">775</v>
    <v t="r">776</v>
    <v t="r">777</v>
    <v t="r">778</v>
    <v t="r">779</v>
  </a>
  <a r="4">
    <v t="s">Central European Time</v>
    <v t="s">UTC+02:00</v>
    <v t="s">UTC+01:00</v>
    <v t="s">Central European Summer Time</v>
  </a>
  <a r="2">
    <v t="r">807</v>
    <v t="r">808</v>
  </a>
  <a r="1">
    <v t="s">Swedish language</v>
  </a>
  <a r="21">
    <v t="r">824</v>
    <v t="r">825</v>
    <v t="r">826</v>
    <v t="r">827</v>
    <v t="r">828</v>
    <v t="r">829</v>
    <v t="r">830</v>
    <v t="r">831</v>
    <v t="r">832</v>
    <v t="r">833</v>
    <v t="r">834</v>
    <v t="r">835</v>
    <v t="r">836</v>
    <v t="r">837</v>
    <v t="r">838</v>
    <v t="r">839</v>
    <v t="r">840</v>
    <v t="r">841</v>
    <v t="r">842</v>
    <v t="r">843</v>
    <v t="r">844</v>
  </a>
  <a r="2">
    <v t="r">871</v>
    <v t="r">872</v>
  </a>
  <a r="1">
    <v t="s">Spanish language</v>
  </a>
  <a r="19">
    <v t="r">888</v>
    <v t="r">889</v>
    <v t="r">890</v>
    <v t="r">891</v>
    <v t="r">892</v>
    <v t="r">893</v>
    <v t="r">894</v>
    <v t="r">895</v>
    <v t="r">896</v>
    <v t="r">897</v>
    <v t="r">898</v>
    <v t="r">899</v>
    <v t="r">900</v>
    <v t="r">901</v>
    <v t="r">902</v>
    <v t="r">903</v>
    <v t="r">904</v>
    <v t="r">905</v>
    <v t="r">906</v>
  </a>
  <a r="2">
    <v t="s">UTC+02:00</v>
    <v t="s">UTC+01:00</v>
  </a>
  <a r="1">
    <v t="r">934</v>
  </a>
  <a r="1">
    <v t="s">Japanese language</v>
  </a>
  <a r="46">
    <v t="r">951</v>
    <v t="r">952</v>
    <v t="r">953</v>
    <v t="r">954</v>
    <v t="r">955</v>
    <v t="r">956</v>
    <v t="r">957</v>
    <v t="r">958</v>
    <v t="r">959</v>
    <v t="r">960</v>
    <v t="r">961</v>
    <v t="r">962</v>
    <v t="r">963</v>
    <v t="r">964</v>
    <v t="r">965</v>
    <v t="r">966</v>
    <v t="r">967</v>
    <v t="r">968</v>
    <v t="r">969</v>
    <v t="r">970</v>
    <v t="r">971</v>
    <v t="r">972</v>
    <v t="r">973</v>
    <v t="r">974</v>
    <v t="r">975</v>
    <v t="r">976</v>
    <v t="r">977</v>
    <v t="r">978</v>
    <v t="r">979</v>
    <v t="r">980</v>
    <v t="r">981</v>
    <v t="r">982</v>
    <v t="r">983</v>
    <v t="r">984</v>
    <v t="r">985</v>
    <v t="r">986</v>
    <v t="r">920</v>
    <v t="r">987</v>
    <v t="r">988</v>
    <v t="r">989</v>
    <v t="r">990</v>
    <v t="r">991</v>
    <v t="r">992</v>
    <v t="r">993</v>
    <v t="r">994</v>
    <v t="r">995</v>
  </a>
  <a r="1">
    <v t="s">Japan Standard Time</v>
  </a>
  <a r="1">
    <v t="r">1021</v>
  </a>
  <a r="1">
    <v t="s">German language</v>
  </a>
  <a r="16">
    <v t="r">1037</v>
    <v t="r">1038</v>
    <v t="r">1039</v>
    <v t="r">1009</v>
    <v t="r">1040</v>
    <v t="r">1041</v>
    <v t="r">1042</v>
    <v t="r">1043</v>
    <v t="r">1044</v>
    <v t="r">1045</v>
    <v t="r">1046</v>
    <v t="r">1047</v>
    <v t="r">1048</v>
    <v t="r">1049</v>
    <v t="r">1050</v>
    <v t="r">1051</v>
  </a>
  <a r="2">
    <v t="r">1078</v>
    <v t="r">1079</v>
  </a>
  <a r="1">
    <v t="s">Italian language</v>
  </a>
  <a r="20">
    <v t="r">1095</v>
    <v t="r">1096</v>
    <v t="r">1097</v>
    <v t="r">1098</v>
    <v t="r">1099</v>
    <v t="r">1100</v>
    <v t="r">1101</v>
    <v t="r">1102</v>
    <v t="r">1103</v>
    <v t="r">1104</v>
    <v t="r">1105</v>
    <v t="r">1106</v>
    <v t="r">1107</v>
    <v t="r">1108</v>
    <v t="r">1109</v>
    <v t="r">1110</v>
    <v t="r">1111</v>
    <v t="r">1112</v>
    <v t="r">1113</v>
    <v t="r">1114</v>
  </a>
  <a r="2">
    <v t="r">1140</v>
    <v t="r">1141</v>
  </a>
  <a r="1">
    <v t="s">Estonian language</v>
  </a>
  <a r="13">
    <v t="r">1155</v>
    <v t="r">1156</v>
    <v t="r">1157</v>
    <v t="r">1158</v>
    <v t="r">1159</v>
    <v t="r">1160</v>
    <v t="r">1161</v>
    <v t="r">1162</v>
    <v t="r">1163</v>
    <v t="r">1164</v>
    <v t="r">1165</v>
    <v t="r">1166</v>
    <v t="r">1167</v>
  </a>
  <a r="4">
    <v t="s">UTC+03:00</v>
    <v t="s">Eastern European Summer Time</v>
    <v t="s">UTC+02:00</v>
    <v t="s">Eastern European Time</v>
  </a>
</arrayData>
</file>

<file path=xl/richData/rdrichvalue.xml><?xml version="1.0" encoding="utf-8"?>
<rvData xmlns="http://schemas.microsoft.com/office/spreadsheetml/2017/richdata" count="1175">
  <rv s="0">
    <v>536870912</v>
    <v>Switzerland</v>
    <v>c10c98b9-afcd-84bf-c5c8-4220fc76a2e3</v>
    <v>en-GB</v>
    <v>Map</v>
  </rv>
  <rv s="1">
    <fb>0.38363446027908404</fb>
    <v>24</v>
  </rv>
  <rv s="1">
    <fb>41285</fb>
    <v>25</v>
  </rv>
  <rv s="1">
    <fb>21000</fb>
    <v>25</v>
  </rv>
  <rv s="1">
    <fb>10</fb>
    <v>26</v>
  </rv>
  <rv s="1">
    <fb>41</fb>
    <v>27</v>
  </rv>
  <rv s="0">
    <v>536870912</v>
    <v>Bern</v>
    <v>15dda629-8f09-9c82-b064-7a7e8e84c804</v>
    <v>en-GB</v>
    <v>Map</v>
  </rv>
  <rv s="1">
    <fb>34477.133999999998</fb>
    <v>25</v>
  </rv>
  <rv s="1">
    <fb>99.546913020227805</fb>
    <v>28</v>
  </rv>
  <rv s="1">
    <fb>3.6291600452038396E-3</fb>
    <v>24</v>
  </rv>
  <rv s="1">
    <fb>7520.1660249450197</fb>
    <v>25</v>
  </rv>
  <rv s="1">
    <fb>1.52</fb>
    <v>26</v>
  </rv>
  <rv s="1">
    <fb>0.318301452005265</fb>
    <v>24</v>
  </rv>
  <rv s="1">
    <fb>50.168225480798597</fb>
    <v>29</v>
  </rv>
  <rv s="1">
    <fb>1.45</fb>
    <v>30</v>
  </rv>
  <rv s="1">
    <fb>703082435360.11694</fb>
    <v>31</v>
  </rv>
  <rv s="1">
    <fb>1.0519068</fb>
    <v>24</v>
  </rv>
  <rv s="1">
    <fb>0.59562990000000005</fb>
    <v>24</v>
  </rv>
  <rv s="2">
    <v>0</v>
    <v>22</v>
    <v>32</v>
    <v>7</v>
    <v>0</v>
    <v>Image of Switzerland</v>
  </rv>
  <rv s="1">
    <fb>3.7</fb>
    <v>29</v>
  </rv>
  <rv s="0">
    <v>536870912</v>
    <v>Zürich</v>
    <v>db19e556-240e-d241-ad76-1bf238372a7f</v>
    <v>en-GB</v>
    <v>Map</v>
  </rv>
  <rv s="0">
    <v>805306368</v>
    <v>Walter Thurnherr (Chancellor)</v>
    <v>ad186331-d3a7-d0b0-0e74-1fcac5e3c2c5</v>
    <v>en-GB</v>
    <v>Generic</v>
  </rv>
  <rv s="3">
    <v>0</v>
  </rv>
  <rv s="4">
    <v>https://www.bing.com/search?q=switzerland&amp;form=skydnc</v>
    <v>Learn more on Bing</v>
  </rv>
  <rv s="1">
    <fb>83.551219512195104</fb>
    <v>29</v>
  </rv>
  <rv s="1">
    <fb>1834453260000</fb>
    <v>31</v>
  </rv>
  <rv s="1">
    <fb>5</fb>
    <v>29</v>
  </rv>
  <rv s="3">
    <v>1</v>
  </rv>
  <rv s="1">
    <fb>0.28345719829999999</fb>
    <v>24</v>
  </rv>
  <rv s="1">
    <fb>4.2957000000000001</fb>
    <v>26</v>
  </rv>
  <rv s="1">
    <fb>8738791</fb>
    <v>25</v>
  </rv>
  <rv s="1">
    <fb>0.22399999999999998</fb>
    <v>24</v>
  </rv>
  <rv s="1">
    <fb>0.255</fb>
    <v>24</v>
  </rv>
  <rv s="1">
    <fb>0.40600000000000003</fb>
    <v>24</v>
  </rv>
  <rv s="1">
    <fb>3.1E-2</fb>
    <v>24</v>
  </rv>
  <rv s="1">
    <fb>7.6999999999999999E-2</fb>
    <v>24</v>
  </rv>
  <rv s="1">
    <fb>0.125</fb>
    <v>24</v>
  </rv>
  <rv s="1">
    <fb>0.16699999999999998</fb>
    <v>24</v>
  </rv>
  <rv s="1">
    <fb>0.68252998352050798</fb>
    <v>24</v>
  </rv>
  <rv s="0">
    <v>536870912</v>
    <v>Canton of Neuchâtel</v>
    <v>0a49572b-9e9e-e4e4-840d-947d239f9335</v>
    <v>en-GB</v>
    <v>Map</v>
  </rv>
  <rv s="0">
    <v>536870912</v>
    <v>Canton of Bern</v>
    <v>2a03e077-5092-0e03-223b-4aa6b24c7525</v>
    <v>en-GB</v>
    <v>Map</v>
  </rv>
  <rv s="0">
    <v>536870912</v>
    <v>Canton of St. Gallen</v>
    <v>2c40a905-a53f-03e5-6ae8-ff0f2d23e1a1</v>
    <v>en-GB</v>
    <v>Map</v>
  </rv>
  <rv s="0">
    <v>536870912</v>
    <v>Basel-Landschaft</v>
    <v>42301343-12f1-5ec4-5c22-74dbfbf795b2</v>
    <v>en-GB</v>
    <v>Map</v>
  </rv>
  <rv s="0">
    <v>536870912</v>
    <v>Appenzell Innerrhoden</v>
    <v>438c2059-f008-12cd-b398-bdec44fee1ce</v>
    <v>en-GB</v>
    <v>Map</v>
  </rv>
  <rv s="0">
    <v>536870912</v>
    <v>Appenzell Ausserrhoden</v>
    <v>4663e3db-15ae-7203-e966-72677429b1a3</v>
    <v>en-GB</v>
    <v>Map</v>
  </rv>
  <rv s="0">
    <v>536870912</v>
    <v>Canton of Fribourg</v>
    <v>5539f36c-455a-28cc-02c2-27ef6596fe56</v>
    <v>en-GB</v>
    <v>Map</v>
  </rv>
  <rv s="0">
    <v>536870912</v>
    <v>Nidwalden</v>
    <v>58fe5a62-ac5e-752f-a9cf-e9cc16f0d3bb</v>
    <v>en-GB</v>
    <v>Map</v>
  </rv>
  <rv s="0">
    <v>536870912</v>
    <v>Canton of Glarus</v>
    <v>6cf7d446-0b69-661d-2aa7-1719c8a7d3ca</v>
    <v>en-GB</v>
    <v>Map</v>
  </rv>
  <rv s="0">
    <v>536870912</v>
    <v>Canton of Solothurn</v>
    <v>768c0474-5479-b9c8-75f8-f82efb8f0dde</v>
    <v>en-GB</v>
    <v>Map</v>
  </rv>
  <rv s="0">
    <v>536870912</v>
    <v>Canton of Jura</v>
    <v>7d474a26-e388-0d0f-3b50-6ba37562a6b8</v>
    <v>en-GB</v>
    <v>Map</v>
  </rv>
  <rv s="0">
    <v>536870912</v>
    <v>Aargau</v>
    <v>7ffb687a-43b8-ee3e-7244-a40e99f97077</v>
    <v>en-GB</v>
    <v>Map</v>
  </rv>
  <rv s="0">
    <v>536870912</v>
    <v>Thurgau</v>
    <v>8065557e-7c96-3a5b-def2-3f06cf28b35d</v>
    <v>en-GB</v>
    <v>Map</v>
  </rv>
  <rv s="0">
    <v>536870912</v>
    <v>Grisons</v>
    <v>897c7b22-1822-9d6c-0404-564393a9433c</v>
    <v>en-GB</v>
    <v>Map</v>
  </rv>
  <rv s="0">
    <v>536870912</v>
    <v>Valais</v>
    <v>8f4a9c7f-1eaf-8f68-e219-aa3807fe0383</v>
    <v>en-GB</v>
    <v>Map</v>
  </rv>
  <rv s="0">
    <v>536870912</v>
    <v>Canton of Zürich</v>
    <v>91f44f19-7d2e-687e-1899-8b1d22d4a46b</v>
    <v>en-GB</v>
    <v>Map</v>
  </rv>
  <rv s="0">
    <v>536870912</v>
    <v>Canton of Schaffhausen</v>
    <v>93019ae6-ba39-a502-0e6f-d0ea1311b868</v>
    <v>en-GB</v>
    <v>Map</v>
  </rv>
  <rv s="0">
    <v>536870912</v>
    <v>Vaud</v>
    <v>a705603f-d616-d617-8e28-389ba87a66fc</v>
    <v>en-GB</v>
    <v>Map</v>
  </rv>
  <rv s="0">
    <v>536870912</v>
    <v>Canton of Lucerne</v>
    <v>b4674fd7-3899-7adb-4ffb-315b0fe97c2d</v>
    <v>en-GB</v>
    <v>Map</v>
  </rv>
  <rv s="0">
    <v>536870912</v>
    <v>Ticino</v>
    <v>b6c6799b-da2f-f3c7-c738-32ae5b148d64</v>
    <v>en-GB</v>
    <v>Map</v>
  </rv>
  <rv s="0">
    <v>536870912</v>
    <v>Canton of Uri</v>
    <v>bd769763-fa18-cb72-13b9-1fc2356e69e2</v>
    <v>en-GB</v>
    <v>Map</v>
  </rv>
  <rv s="0">
    <v>536870912</v>
    <v>Basel-Stadt</v>
    <v>c6e79b8d-baaa-199e-f037-0c6cb850776e</v>
    <v>en-GB</v>
    <v>Map</v>
  </rv>
  <rv s="0">
    <v>536870912</v>
    <v>Canton of Zug</v>
    <v>e87417bb-ca41-7e6d-69d0-7a8484553a9d</v>
    <v>en-GB</v>
    <v>Map</v>
  </rv>
  <rv s="0">
    <v>536870912</v>
    <v>Obwalden</v>
    <v>ed77cee0-5e66-ea48-95ac-b4a7f4179920</v>
    <v>en-GB</v>
    <v>Map</v>
  </rv>
  <rv s="0">
    <v>536870912</v>
    <v>Canton of Geneva</v>
    <v>fb357cde-21c3-0878-8ec6-1e42a1a9db63</v>
    <v>en-GB</v>
    <v>Map</v>
  </rv>
  <rv s="0">
    <v>536870912</v>
    <v>Canton of Schwyz</v>
    <v>ff0399f7-2e79-eb3f-0618-78c79708ac42</v>
    <v>en-GB</v>
    <v>Map</v>
  </rv>
  <rv s="3">
    <v>2</v>
  </rv>
  <rv s="1">
    <fb>0.10080933835403399</fb>
    <v>24</v>
  </rv>
  <rv s="3">
    <v>3</v>
  </rv>
  <rv s="1">
    <fb>0.28800000000000003</fb>
    <v>24</v>
  </rv>
  <rv s="1">
    <fb>4.5809998512268101E-2</fb>
    <v>33</v>
  </rv>
  <rv s="1">
    <fb>6332428</fb>
    <v>25</v>
  </rv>
  <rv s="5">
    <v>#VALUE!</v>
    <v>en-GB</v>
    <v>c10c98b9-afcd-84bf-c5c8-4220fc76a2e3</v>
    <v>536870912</v>
    <v>1</v>
    <v>16</v>
    <v>17</v>
    <v>Switzerland</v>
    <v>20</v>
    <v>21</v>
    <v>Map</v>
    <v>22</v>
    <v>23</v>
    <v>CH</v>
    <v>1</v>
    <v>2</v>
    <v>3</v>
    <v>4</v>
    <v>5</v>
    <v>6</v>
    <v>7</v>
    <v>8</v>
    <v>9</v>
    <v>CHF</v>
    <v>Switzerland, officially the Swiss Confederation, is a landlocked country located at the confluence of Western, Central and Southern Europe. It is bordered by Italy to the south, France to the west, Germany to the north and Austria and Liechtenstein to the east.</v>
    <v>10</v>
    <v>11</v>
    <v>12</v>
    <v>13</v>
    <v>14</v>
    <v>15</v>
    <v>16</v>
    <v>17</v>
    <v>18</v>
    <v>19</v>
    <v>20</v>
    <v>22</v>
    <v>23</v>
    <v>24</v>
    <v>25</v>
    <v>26</v>
    <v>Switzerland</v>
    <v>Swiss Psalm</v>
    <v>27</v>
    <v>Confoederatio Helvetica</v>
    <v>28</v>
    <v>29</v>
    <v>30</v>
    <v>31</v>
    <v>32</v>
    <v>33</v>
    <v>34</v>
    <v>35</v>
    <v>36</v>
    <v>37</v>
    <v>38</v>
    <v>65</v>
    <v>66</v>
    <v>67</v>
    <v>68</v>
    <v>69</v>
    <v>Switzerland</v>
    <v>70</v>
    <v>mdp/vdpid/223</v>
  </rv>
  <rv s="0">
    <v>536870912</v>
    <v>Netherlands</v>
    <v>bf5c1a4b-df0b-09dc-dce0-e3fb0c898dd3</v>
    <v>en-GB</v>
    <v>Map</v>
  </rv>
  <rv s="1">
    <fb>0.53309587414663095</fb>
    <v>24</v>
  </rv>
  <rv s="1">
    <fb>41543</fb>
    <v>25</v>
  </rv>
  <rv s="1">
    <fb>41000</fb>
    <v>25</v>
  </rv>
  <rv s="1">
    <fb>9.6999999999999993</fb>
    <v>26</v>
  </rv>
  <rv s="1">
    <fb>31</fb>
    <v>27</v>
  </rv>
  <rv s="0">
    <v>536870912</v>
    <v>Amsterdam</v>
    <v>0b840501-8599-9528-5b22-13589caf205a</v>
    <v>en-GB</v>
    <v>Map</v>
  </rv>
  <rv s="1">
    <fb>170779.524</fb>
    <v>25</v>
  </rv>
  <rv s="1">
    <fb>115.907994941178</fb>
    <v>28</v>
  </rv>
  <rv s="1">
    <fb>2.6336991024959299E-2</fb>
    <v>24</v>
  </rv>
  <rv s="1">
    <fb>6712.7747582450002</fb>
    <v>25</v>
  </rv>
  <rv s="1">
    <fb>1.59</fb>
    <v>26</v>
  </rv>
  <rv s="1">
    <fb>0.11178391395177099</fb>
    <v>24</v>
  </rv>
  <rv s="1">
    <fb>93.461004609605595</fb>
    <v>29</v>
  </rv>
  <rv s="1">
    <fb>1.68</fb>
    <v>30</v>
  </rv>
  <rv s="1">
    <fb>909070395160.78296</fb>
    <v>31</v>
  </rv>
  <rv s="1">
    <fb>1.0422962</fb>
    <v>24</v>
  </rv>
  <rv s="1">
    <fb>0.84980450000000007</fb>
    <v>24</v>
  </rv>
  <rv s="2">
    <v>1</v>
    <v>22</v>
    <v>40</v>
    <v>7</v>
    <v>0</v>
    <v>Image of Netherlands</v>
  </rv>
  <rv s="1">
    <fb>3.3</fb>
    <v>29</v>
  </rv>
  <rv s="0">
    <v>805306368</v>
    <v>Willem-Alexander of the Netherlands (Monarch)</v>
    <v>70912573-f10f-4d1d-a8f8-220566451e74</v>
    <v>en-GB</v>
    <v>Generic</v>
  </rv>
  <rv s="0">
    <v>805306368</v>
    <v>Mark Rutte (Prime minister)</v>
    <v>673e1b90-ad19-15cc-dd94-53646495b541</v>
    <v>en-GB</v>
    <v>Generic</v>
  </rv>
  <rv s="3">
    <v>4</v>
  </rv>
  <rv s="4">
    <v>https://www.bing.com/search?q=netherlands&amp;form=skydnc</v>
    <v>Learn more on Bing</v>
  </rv>
  <rv s="1">
    <fb>81.760975609756102</fb>
    <v>29</v>
  </rv>
  <rv s="1">
    <fb>1100105440292.49</fb>
    <v>31</v>
  </rv>
  <rv s="1">
    <fb>10.29</fb>
    <v>30</v>
  </rv>
  <rv s="3">
    <v>5</v>
  </rv>
  <rv s="1">
    <fb>0.1225176999</fb>
    <v>24</v>
  </rv>
  <rv s="1">
    <fb>3.6053999999999999</fb>
    <v>26</v>
  </rv>
  <rv s="1">
    <fb>17590672</fb>
    <v>25</v>
  </rv>
  <rv s="1">
    <fb>0.223</fb>
    <v>24</v>
  </rv>
  <rv s="1">
    <fb>0.23300000000000001</fb>
    <v>24</v>
  </rv>
  <rv s="1">
    <fb>0.376</fb>
    <v>24</v>
  </rv>
  <rv s="1">
    <fb>3.5000000000000003E-2</fb>
    <v>24</v>
  </rv>
  <rv s="1">
    <fb>8.8000000000000009E-2</fb>
    <v>24</v>
  </rv>
  <rv s="1">
    <fb>0.13800000000000001</fb>
    <v>24</v>
  </rv>
  <rv s="1">
    <fb>0.17499999999999999</fb>
    <v>24</v>
  </rv>
  <rv s="1">
    <fb>0.63619998931884802</fb>
    <v>24</v>
  </rv>
  <rv s="0">
    <v>536870912</v>
    <v>Bonaire</v>
    <v>07f27f8a-d073-328d-927f-a0db18eedf7c</v>
    <v>en-GB</v>
    <v>Map</v>
  </rv>
  <rv s="0">
    <v>536870912</v>
    <v>North Holland</v>
    <v>1cbd1d08-fab6-2da6-0edd-41aa626502c2</v>
    <v>en-GB</v>
    <v>Map</v>
  </rv>
  <rv s="0">
    <v>536870912</v>
    <v>Gelderland</v>
    <v>47e59e29-1b92-c09c-0310-bba63a79744b</v>
    <v>en-GB</v>
    <v>Map</v>
  </rv>
  <rv s="0">
    <v>536870912</v>
    <v>Utrecht</v>
    <v>555963f7-e818-0e35-b5c8-1a97c8e78ed7</v>
    <v>en-GB</v>
    <v>Map</v>
  </rv>
  <rv s="0">
    <v>536870912</v>
    <v>Drenthe</v>
    <v>598e815b-602f-15c5-256e-a36860ffc830</v>
    <v>en-GB</v>
    <v>Map</v>
  </rv>
  <rv s="0">
    <v>536870912</v>
    <v>North Brabant</v>
    <v>67287e9d-748b-ece4-4770-99ec69c94b1a</v>
    <v>en-GB</v>
    <v>Map</v>
  </rv>
  <rv s="0">
    <v>536870912</v>
    <v>Flevoland</v>
    <v>994d48a1-a44d-0664-1089-99ddd4d7e63d</v>
    <v>en-GB</v>
    <v>Map</v>
  </rv>
  <rv s="0">
    <v>536870912</v>
    <v>South Holland</v>
    <v>a189b2b4-4c8d-e909-49ed-1b6f571a33c2</v>
    <v>en-GB</v>
    <v>Map</v>
  </rv>
  <rv s="0">
    <v>536870912</v>
    <v>Zeeland</v>
    <v>b07124fd-c9f8-1712-1bd3-030b62afdd3d</v>
    <v>en-GB</v>
    <v>Map</v>
  </rv>
  <rv s="0">
    <v>536870912</v>
    <v>Limburg</v>
    <v>ba5627ab-eb52-6b56-c39c-399bd1e23825</v>
    <v>en-GB</v>
    <v>Map</v>
  </rv>
  <rv s="0">
    <v>536870912</v>
    <v>Sint Eustatius</v>
    <v>bd1174e8-c3f5-aee0-f4bd-67475d9dfe98</v>
    <v>en-GB</v>
    <v>Map</v>
  </rv>
  <rv s="0">
    <v>536870912</v>
    <v>Overijssel</v>
    <v>c80fa63b-8b0d-7117-09f7-f3b063ba8e8c</v>
    <v>en-GB</v>
    <v>Map</v>
  </rv>
  <rv s="0">
    <v>536870912</v>
    <v>Friesland</v>
    <v>d3c60b92-e27c-cc6a-6ef5-f0937e506af0</v>
    <v>en-GB</v>
    <v>Map</v>
  </rv>
  <rv s="0">
    <v>536870912</v>
    <v>Groningen</v>
    <v>d523b02d-2f28-981e-9282-8f6cddd23d80</v>
    <v>en-GB</v>
    <v>Map</v>
  </rv>
  <rv s="3">
    <v>6</v>
  </rv>
  <rv s="1">
    <fb>0.230359193787393</fb>
    <v>24</v>
  </rv>
  <rv s="3">
    <v>7</v>
  </rv>
  <rv s="1">
    <fb>0.41200000000000003</fb>
    <v>24</v>
  </rv>
  <rv s="1">
    <fb>3.1960000991821301E-2</fb>
    <v>33</v>
  </rv>
  <rv s="1">
    <fb>15924729</fb>
    <v>25</v>
  </rv>
  <rv s="6">
    <v>#VALUE!</v>
    <v>en-GB</v>
    <v>bf5c1a4b-df0b-09dc-dce0-e3fb0c898dd3</v>
    <v>536870912</v>
    <v>1</v>
    <v>37</v>
    <v>38</v>
    <v>Netherlands</v>
    <v>20</v>
    <v>21</v>
    <v>Map</v>
    <v>22</v>
    <v>39</v>
    <v>NL</v>
    <v>73</v>
    <v>74</v>
    <v>75</v>
    <v>76</v>
    <v>77</v>
    <v>78</v>
    <v>79</v>
    <v>80</v>
    <v>81</v>
    <v>EUR</v>
    <v>The Netherlands, informally Holland, is a country located in northwestern Europe with overseas territories in the Caribbean. It is the largest of four constituent countries of the Kingdom of the Netherlands. The Netherlands consists of twelve provinces; it borders Germany to the east, and Belgium to the south, with a North Sea coastline to the north and west. It shares maritime borders with the United Kingdom, Germany and Belgium in the North Sea. The country's official language is Dutch, with West Frisian as a secondary official language in the province of Friesland. Dutch, English and Papiamento are official in the Caribbean territories.</v>
    <v>82</v>
    <v>83</v>
    <v>84</v>
    <v>85</v>
    <v>86</v>
    <v>87</v>
    <v>88</v>
    <v>89</v>
    <v>90</v>
    <v>91</v>
    <v>78</v>
    <v>94</v>
    <v>95</v>
    <v>96</v>
    <v>97</v>
    <v>26</v>
    <v>98</v>
    <v>Netherlands</v>
    <v>Wilhelmus</v>
    <v>99</v>
    <v>Nederland</v>
    <v>100</v>
    <v>101</v>
    <v>102</v>
    <v>103</v>
    <v>104</v>
    <v>105</v>
    <v>106</v>
    <v>107</v>
    <v>108</v>
    <v>109</v>
    <v>110</v>
    <v>125</v>
    <v>126</v>
    <v>127</v>
    <v>128</v>
    <v>129</v>
    <v>Netherlands</v>
    <v>130</v>
    <v>mdp/vdpid/176</v>
  </rv>
  <rv s="0">
    <v>536870912</v>
    <v>United Kingdom</v>
    <v>b1a5155a-6bb2-4646-8f7c-3e6b3a53c831</v>
    <v>en-GB</v>
    <v>Map</v>
  </rv>
  <rv s="1">
    <fb>0.71714878141404492</fb>
    <v>24</v>
  </rv>
  <rv s="1">
    <fb>242495</fb>
    <v>25</v>
  </rv>
  <rv s="1">
    <fb>148000</fb>
    <v>25</v>
  </rv>
  <rv s="1">
    <fb>11</fb>
    <v>26</v>
  </rv>
  <rv s="1">
    <fb>44</fb>
    <v>27</v>
  </rv>
  <rv s="0">
    <v>536870912</v>
    <v>London</v>
    <v>8e0ba7b6-4225-fa8a-6369-1b5294e602a5</v>
    <v>en-GB</v>
    <v>Map</v>
  </rv>
  <rv s="1">
    <fb>379024.78700000001</fb>
    <v>25</v>
  </rv>
  <rv s="1">
    <fb>119.622711300166</fb>
    <v>28</v>
  </rv>
  <rv s="1">
    <fb>1.7381046008651101E-2</fb>
    <v>24</v>
  </rv>
  <rv s="1">
    <fb>5129.5277927901998</fb>
    <v>25</v>
  </rv>
  <rv s="1">
    <fb>1.68</fb>
    <v>26</v>
  </rv>
  <rv s="1">
    <fb>0.130657628239573</fb>
    <v>24</v>
  </rv>
  <rv s="1">
    <fb>80.351771267255202</fb>
    <v>29</v>
  </rv>
  <rv s="1">
    <fb>1.46</fb>
    <v>30</v>
  </rv>
  <rv s="1">
    <fb>2827113184695.5801</fb>
    <v>31</v>
  </rv>
  <rv s="1">
    <fb>1.0115456</fb>
    <v>24</v>
  </rv>
  <rv s="1">
    <fb>0.59995569999999998</fb>
    <v>24</v>
  </rv>
  <rv s="2">
    <v>2</v>
    <v>22</v>
    <v>46</v>
    <v>7</v>
    <v>0</v>
    <v>Image of United Kingdom</v>
  </rv>
  <rv s="1">
    <fb>3.6</fb>
    <v>29</v>
  </rv>
  <rv s="0">
    <v>805306368</v>
    <v>Rishi Sunak (Prime minister)</v>
    <v>79551c5d-075b-e493-70a2-f5b22a4876e1</v>
    <v>en-GB</v>
    <v>Generic</v>
  </rv>
  <rv s="0">
    <v>805306368</v>
    <v>Charles III (Monarch)</v>
    <v>afc6f6a9-5b55-9178-3e6f-2c8b6d16ee9c</v>
    <v>en-GB</v>
    <v>Generic</v>
  </rv>
  <rv s="3">
    <v>8</v>
  </rv>
  <rv s="4">
    <v>https://www.bing.com/search?q=united+kingdom&amp;form=skydnc</v>
    <v>Learn more on Bing</v>
  </rv>
  <rv s="1">
    <fb>81.256097560975604</fb>
    <v>29</v>
  </rv>
  <rv s="1">
    <fb>1868152970000</fb>
    <v>31</v>
  </rv>
  <rv s="1">
    <fb>7</fb>
    <v>29</v>
  </rv>
  <rv s="1">
    <fb>10.130000000000001</fb>
    <v>30</v>
  </rv>
  <rv s="3">
    <v>9</v>
  </rv>
  <rv s="1">
    <fb>0.14794489889999998</fb>
    <v>24</v>
  </rv>
  <rv s="1">
    <fb>2.8117000000000001</fb>
    <v>26</v>
  </rv>
  <rv s="1">
    <fb>67326569</fb>
    <v>25</v>
  </rv>
  <rv s="1">
    <fb>0.22500000000000001</fb>
    <v>24</v>
  </rv>
  <rv s="1">
    <fb>0.26800000000000002</fb>
    <v>24</v>
  </rv>
  <rv s="1">
    <fb>0.42100000000000004</fb>
    <v>24</v>
  </rv>
  <rv s="1">
    <fb>2.7999999999999997E-2</fb>
    <v>24</v>
  </rv>
  <rv s="1">
    <fb>7.0999999999999994E-2</fb>
    <v>24</v>
  </rv>
  <rv s="1">
    <fb>0.11900000000000001</fb>
    <v>24</v>
  </rv>
  <rv s="1">
    <fb>0.16399999999999998</fb>
    <v>24</v>
  </rv>
  <rv s="1">
    <fb>0.62773998260497998</fb>
    <v>24</v>
  </rv>
  <rv s="0">
    <v>536870912</v>
    <v>England</v>
    <v>280d39e8-7217-6863-6980-a8c20c211c89</v>
    <v>en-GB</v>
    <v>Map</v>
  </rv>
  <rv s="0">
    <v>536870912</v>
    <v>Scotland</v>
    <v>a0377d96-1a18-f843-65ad-adcbc4acdc69</v>
    <v>en-GB</v>
    <v>Map</v>
  </rv>
  <rv s="0">
    <v>536870912</v>
    <v>Wales</v>
    <v>b51b24e1-6afb-d525-d360-f2eb5bf3410b</v>
    <v>en-GB</v>
    <v>Map</v>
  </rv>
  <rv s="0">
    <v>536870912</v>
    <v>Northern Ireland</v>
    <v>e4b8bc44-385c-e87b-bb7d-b32328f53502</v>
    <v>en-GB</v>
    <v>Map</v>
  </rv>
  <rv s="3">
    <v>10</v>
  </rv>
  <rv s="1">
    <fb>0.255052921600669</fb>
    <v>24</v>
  </rv>
  <rv s="3">
    <v>11</v>
  </rv>
  <rv s="1">
    <fb>0.30599999999999999</fb>
    <v>24</v>
  </rv>
  <rv s="1">
    <fb>3.8510000705719E-2</fb>
    <v>33</v>
  </rv>
  <rv s="1">
    <fb>55908316</fb>
    <v>25</v>
  </rv>
  <rv s="6">
    <v>#VALUE!</v>
    <v>en-GB</v>
    <v>b1a5155a-6bb2-4646-8f7c-3e6b3a53c831</v>
    <v>536870912</v>
    <v>1</v>
    <v>44</v>
    <v>38</v>
    <v>United Kingdom</v>
    <v>20</v>
    <v>21</v>
    <v>Map</v>
    <v>22</v>
    <v>45</v>
    <v>GB</v>
    <v>133</v>
    <v>134</v>
    <v>135</v>
    <v>136</v>
    <v>137</v>
    <v>138</v>
    <v>139</v>
    <v>140</v>
    <v>141</v>
    <v>GBP</v>
    <v>The United Kingdom of Great Britain and Northern Ireland, commonly known as the United Kingdom or Britain, is a country in Northwestern Europe, off the north-western coast of the continental mainland. It comprises England, Scotland, Wales, and Northern Ireland. It includes the island of Great Britain, the north-eastern part of the island of Ireland, and most of the smaller islands within the British Isles. Northern Ireland shares a land border with the Republic of Ireland; otherwise, the United Kingdom is surrounded by the Atlantic Ocean, the North Sea, the English Channel, the Celtic Sea and the Irish Sea. The total area of the United Kingdom is 93,628 square miles, with an estimated 2023 population of over 68 million people.</v>
    <v>142</v>
    <v>143</v>
    <v>144</v>
    <v>145</v>
    <v>146</v>
    <v>147</v>
    <v>148</v>
    <v>149</v>
    <v>150</v>
    <v>151</v>
    <v>138</v>
    <v>154</v>
    <v>155</v>
    <v>156</v>
    <v>157</v>
    <v>158</v>
    <v>159</v>
    <v>United Kingdom</v>
    <v>God Save The King</v>
    <v>160</v>
    <v>United Kingdom of Great Britain and Northern Ireland</v>
    <v>161</v>
    <v>162</v>
    <v>163</v>
    <v>164</v>
    <v>165</v>
    <v>166</v>
    <v>167</v>
    <v>168</v>
    <v>169</v>
    <v>170</v>
    <v>171</v>
    <v>176</v>
    <v>177</v>
    <v>178</v>
    <v>179</v>
    <v>180</v>
    <v>United Kingdom</v>
    <v>181</v>
    <v>mdp/vdpid/242</v>
  </rv>
  <rv s="0">
    <v>536870912</v>
    <v>Denmark</v>
    <v>95710a2f-c32d-4c03-bec0-7ff079db158d</v>
    <v>en-GB</v>
    <v>Map</v>
  </rv>
  <rv s="1">
    <fb>0.62014765420338203</fb>
    <v>24</v>
  </rv>
  <rv s="1">
    <fb>42925.46</fb>
    <v>25</v>
  </rv>
  <rv s="1">
    <fb>15000</fb>
    <v>25</v>
  </rv>
  <rv s="1">
    <fb>10.6</fb>
    <v>26</v>
  </rv>
  <rv s="1">
    <fb>45</fb>
    <v>27</v>
  </rv>
  <rv s="0">
    <v>536870912</v>
    <v>Copenhagen</v>
    <v>8052664d-a70c-e1fa-c761-489d8c924b80</v>
    <v>en-GB</v>
    <v>Map</v>
  </rv>
  <rv s="1">
    <fb>31785.556</fb>
    <v>25</v>
  </rv>
  <rv s="1">
    <fb>110.347290420498</fb>
    <v>28</v>
  </rv>
  <rv s="1">
    <fb>7.5813157251161901E-3</fb>
    <v>24</v>
  </rv>
  <rv s="1">
    <fb>5858.8015362874803</fb>
    <v>25</v>
  </rv>
  <rv s="1">
    <fb>1.73</fb>
    <v>26</v>
  </rv>
  <rv s="1">
    <fb>0.14699213400884101</fb>
    <v>24</v>
  </rv>
  <rv s="1">
    <fb>64.927089467566603</fb>
    <v>29</v>
  </rv>
  <rv s="1">
    <fb>1.55</fb>
    <v>30</v>
  </rv>
  <rv s="1">
    <fb>348078018463.90503</fb>
    <v>31</v>
  </rv>
  <rv s="1">
    <fb>1.0126809000000001</fb>
    <v>24</v>
  </rv>
  <rv s="1">
    <fb>0.8061602000000001</fb>
    <v>24</v>
  </rv>
  <rv s="2">
    <v>3</v>
    <v>22</v>
    <v>52</v>
    <v>7</v>
    <v>0</v>
    <v>Image of Denmark</v>
  </rv>
  <rv s="0">
    <v>805306368</v>
    <v>Mette Frederiksen (Prime minister)</v>
    <v>080235cf-4453-82c5-a952-a9e6000ac49b</v>
    <v>en-GB</v>
    <v>Generic</v>
  </rv>
  <rv s="0">
    <v>805306368</v>
    <v>Margrethe II of Denmark (Monarch)</v>
    <v>28da0d92-465c-eb67-fcae-9e51e9cf0f91</v>
    <v>en-GB</v>
    <v>Generic</v>
  </rv>
  <rv s="3">
    <v>12</v>
  </rv>
  <rv s="4">
    <v>https://www.bing.com/search?q=denmark&amp;form=skydnc</v>
    <v>Learn more on Bing</v>
  </rv>
  <rv s="1">
    <fb>80.953658536585394</fb>
    <v>29</v>
  </rv>
  <rv s="1">
    <fb>151349870000</fb>
    <v>31</v>
  </rv>
  <rv s="1">
    <fb>4</fb>
    <v>29</v>
  </rv>
  <rv s="3">
    <v>13</v>
  </rv>
  <rv s="1">
    <fb>0.13722792379999998</fb>
    <v>24</v>
  </rv>
  <rv s="1">
    <fb>4.0099</fb>
    <v>26</v>
  </rv>
  <rv s="1">
    <fb>5822863</fb>
    <v>25</v>
  </rv>
  <rv s="1">
    <fb>0.21899999999999997</fb>
    <v>24</v>
  </rv>
  <rv s="1">
    <fb>0.24</fb>
    <v>24</v>
  </rv>
  <rv s="1">
    <fb>0.38100000000000001</fb>
    <v>24</v>
  </rv>
  <rv s="1">
    <fb>3.7000000000000005E-2</fb>
    <v>24</v>
  </rv>
  <rv s="1">
    <fb>9.0999999999999998E-2</fb>
    <v>24</v>
  </rv>
  <rv s="1">
    <fb>0.13699999999999998</fb>
    <v>24</v>
  </rv>
  <rv s="1">
    <fb>0.17199999999999999</fb>
    <v>24</v>
  </rv>
  <rv s="1">
    <fb>0.62217998504638705</fb>
    <v>24</v>
  </rv>
  <rv s="0">
    <v>536870912</v>
    <v>North Jutland Region</v>
    <v>051568b1-127e-3d0e-1591-07491f1ab5a5</v>
    <v>en-GB</v>
    <v>Map</v>
  </rv>
  <rv s="0">
    <v>536870912</v>
    <v>Region of Southern Denmark</v>
    <v>2a8f2729-c9c7-0675-b9cf-c866bd52068a</v>
    <v>en-GB</v>
    <v>Map</v>
  </rv>
  <rv s="0">
    <v>536870912</v>
    <v>Region Zealand</v>
    <v>34915c7b-bd4a-9bf2-32b8-e8dc2f40e373</v>
    <v>en-GB</v>
    <v>Map</v>
  </rv>
  <rv s="0">
    <v>536870912</v>
    <v>Central Denmark Region</v>
    <v>78bf590e-ce59-f821-ede9-ae2f548d476b</v>
    <v>en-GB</v>
    <v>Map</v>
  </rv>
  <rv s="0">
    <v>536870912</v>
    <v>Capital Region of Denmark</v>
    <v>d04715be-1fef-ff73-393d-f12a6f24b6b4</v>
    <v>en-GB</v>
    <v>Map</v>
  </rv>
  <rv s="3">
    <v>14</v>
  </rv>
  <rv s="1">
    <fb>0.32382317837334801</fb>
    <v>24</v>
  </rv>
  <rv s="1">
    <fb>0.23800000000000002</fb>
    <v>24</v>
  </rv>
  <rv s="1">
    <fb>4.9130001068115201E-2</fb>
    <v>33</v>
  </rv>
  <rv s="1">
    <fb>5119978</fb>
    <v>25</v>
  </rv>
  <rv s="5">
    <v>#VALUE!</v>
    <v>en-GB</v>
    <v>95710a2f-c32d-4c03-bec0-7ff079db158d</v>
    <v>536870912</v>
    <v>1</v>
    <v>50</v>
    <v>17</v>
    <v>Denmark</v>
    <v>20</v>
    <v>21</v>
    <v>Map</v>
    <v>22</v>
    <v>51</v>
    <v>DK</v>
    <v>184</v>
    <v>185</v>
    <v>186</v>
    <v>187</v>
    <v>188</v>
    <v>189</v>
    <v>190</v>
    <v>191</v>
    <v>192</v>
    <v>DKK</v>
    <v>Denmark is a Nordic country in Northern Europe. It is the metropolitan part of and the most populous constituent of the Kingdom of Denmark, a constitutionally unitary state that includes the autonomous territories of the Faroe Islands and Greenland in the North Atlantic Ocean. Metropolitan Denmark is the southernmost of the Scandinavian countries, lying south-west and south of Sweden, south of Norway, and north of Germany, with which it shares a short border, Denmark's only land border.</v>
    <v>193</v>
    <v>194</v>
    <v>195</v>
    <v>196</v>
    <v>197</v>
    <v>198</v>
    <v>199</v>
    <v>200</v>
    <v>201</v>
    <v>151</v>
    <v>189</v>
    <v>204</v>
    <v>205</v>
    <v>206</v>
    <v>207</v>
    <v>208</v>
    <v>Denmark</v>
    <v>Der er et yndigt land</v>
    <v>209</v>
    <v>Kongeriget Danmark</v>
    <v>210</v>
    <v>211</v>
    <v>212</v>
    <v>213</v>
    <v>214</v>
    <v>215</v>
    <v>216</v>
    <v>217</v>
    <v>218</v>
    <v>219</v>
    <v>220</v>
    <v>226</v>
    <v>227</v>
    <v>67</v>
    <v>228</v>
    <v>229</v>
    <v>Denmark</v>
    <v>230</v>
    <v>mdp/vdpid/61</v>
  </rv>
  <rv s="0">
    <v>536870912</v>
    <v>United States</v>
    <v>5232ed96-85b1-2edb-12c6-63e6c597a1de</v>
    <v>en-GB</v>
    <v>Map</v>
  </rv>
  <rv s="1">
    <fb>0.44369067999501505</fb>
    <v>24</v>
  </rv>
  <rv s="1">
    <fb>9826675</fb>
    <v>25</v>
  </rv>
  <rv s="1">
    <fb>1359000</fb>
    <v>25</v>
  </rv>
  <rv s="1">
    <fb>11.6</fb>
    <v>26</v>
  </rv>
  <rv s="1">
    <fb>1</fb>
    <v>27</v>
  </rv>
  <rv s="0">
    <v>536870912</v>
    <v>Washington, D.C.</v>
    <v>216726d1-8987-06d3-5eff-823da05c3d3c</v>
    <v>en-GB</v>
    <v>Map</v>
  </rv>
  <rv s="1">
    <fb>5006302.0769999996</fb>
    <v>25</v>
  </rv>
  <rv s="1">
    <fb>117.244195476228</fb>
    <v>28</v>
  </rv>
  <rv s="1">
    <fb>7.4999999999999997E-2</fb>
    <v>24</v>
  </rv>
  <rv s="1">
    <fb>12993.961824772699</fb>
    <v>25</v>
  </rv>
  <rv s="1">
    <fb>1.7295</fb>
    <v>26</v>
  </rv>
  <rv s="1">
    <fb>0.339297856663409</fb>
    <v>24</v>
  </rv>
  <rv s="1">
    <fb>82.427828245269197</fb>
    <v>29</v>
  </rv>
  <rv s="1">
    <fb>0.71</fb>
    <v>30</v>
  </rv>
  <rv s="1">
    <fb>21427700000000</fb>
    <v>31</v>
  </rv>
  <rv s="1">
    <fb>1.0182144</fb>
    <v>24</v>
  </rv>
  <rv s="1">
    <fb>0.88167390000000001</fb>
    <v>24</v>
  </rv>
  <rv s="2">
    <v>4</v>
    <v>22</v>
    <v>58</v>
    <v>7</v>
    <v>0</v>
    <v>Image of United States</v>
  </rv>
  <rv s="1">
    <fb>5.6</fb>
    <v>29</v>
  </rv>
  <rv s="0">
    <v>536870912</v>
    <v>New York City</v>
    <v>60d5dc2b-c915-460b-b722-c9e3485499ca</v>
    <v>en-GB</v>
    <v>Map</v>
  </rv>
  <rv s="0">
    <v>805306368</v>
    <v>John Roberts (Chief justice)</v>
    <v>af7f7f4b-fd5b-867d-e108-4b6ecf118076</v>
    <v>en-GB</v>
    <v>Generic</v>
  </rv>
  <rv s="0">
    <v>805306368</v>
    <v>Joe Biden (President)</v>
    <v>cad484f9-be75-7a78-12dd-16233f823cd7</v>
    <v>en-GB</v>
    <v>Generic</v>
  </rv>
  <rv s="0">
    <v>805306368</v>
    <v>Kamala Harris (Vice president)</v>
    <v>ef5cf66f-32b7-7271-286a-8e8313eda5c5</v>
    <v>en-GB</v>
    <v>Generic</v>
  </rv>
  <rv s="3">
    <v>15</v>
  </rv>
  <rv s="4">
    <v>https://www.bing.com/search?q=united+states&amp;form=skydnc</v>
    <v>Learn more on Bing</v>
  </rv>
  <rv s="1">
    <fb>78.539024390243895</fb>
    <v>29</v>
  </rv>
  <rv s="1">
    <fb>30436313050000</fb>
    <v>31</v>
  </rv>
  <rv s="1">
    <fb>19</fb>
    <v>29</v>
  </rv>
  <rv s="1">
    <fb>7.25</fb>
    <v>30</v>
  </rv>
  <rv s="1">
    <fb>0.1108387988</fb>
    <v>24</v>
  </rv>
  <rv s="1">
    <fb>2.6120000000000001</fb>
    <v>26</v>
  </rv>
  <rv s="1">
    <fb>331893745</fb>
    <v>25</v>
  </rv>
  <rv s="1">
    <fb>0.22600000000000001</fb>
    <v>24</v>
  </rv>
  <rv s="1">
    <fb>0.30499999999999999</fb>
    <v>24</v>
  </rv>
  <rv s="1">
    <fb>0.46799999999999997</fb>
    <v>24</v>
  </rv>
  <rv s="1">
    <fb>1.7000000000000001E-2</fb>
    <v>24</v>
  </rv>
  <rv s="1">
    <fb>5.0999999999999997E-2</fb>
    <v>24</v>
  </rv>
  <rv s="1">
    <fb>0.10300000000000001</fb>
    <v>24</v>
  </rv>
  <rv s="1">
    <fb>0.153</fb>
    <v>24</v>
  </rv>
  <rv s="1">
    <fb>0.62048999786377002</fb>
    <v>24</v>
  </rv>
  <rv s="0">
    <v>536870912</v>
    <v>Texas</v>
    <v>00a23ccd-3344-461c-8b9f-c2bb55be5815</v>
    <v>en-GB</v>
    <v>Map</v>
  </rv>
  <rv s="0">
    <v>536870912</v>
    <v>New Jersey</v>
    <v>05277898-b62b-4878-8632-09d29756a2ff</v>
    <v>en-GB</v>
    <v>Map</v>
  </rv>
  <rv s="0">
    <v>536870912</v>
    <v>Louisiana</v>
    <v>0ca1e87f-e2f6-43fb-8deb-d22bd09a9cae</v>
    <v>en-GB</v>
    <v>Map</v>
  </rv>
  <rv s="0">
    <v>536870912</v>
    <v>Kentucky</v>
    <v>108dfd18-4626-481a-8dfa-18f64e6eac84</v>
    <v>en-GB</v>
    <v>Map</v>
  </rv>
  <rv s="0">
    <v>536870912</v>
    <v>Indiana</v>
    <v>109f7e5a-efbb-4953-b4b8-cb812ce1ff5d</v>
    <v>en-GB</v>
    <v>Map</v>
  </rv>
  <rv s="0">
    <v>536870912</v>
    <v>American Samoa</v>
    <v>12d04d63-b9b5-855b-0821-b32474a729a4</v>
    <v>en-GB</v>
    <v>Map</v>
  </rv>
  <rv s="0">
    <v>536870912</v>
    <v>Michigan</v>
    <v>162411c2-b757-495d-aa81-93942fae2f7e</v>
    <v>en-GB</v>
    <v>Map</v>
  </rv>
  <rv s="0">
    <v>536870912</v>
    <v>Vermont</v>
    <v>221864cc-447e-4e78-847c-59e485d73bff</v>
    <v>en-GB</v>
    <v>Map</v>
  </rv>
  <rv s="0">
    <v>536870912</v>
    <v>California</v>
    <v>3009d91d-d582-4c34-85ba-772ba09e5be1</v>
    <v>en-GB</v>
    <v>Map</v>
  </rv>
  <rv s="0">
    <v>536870912</v>
    <v>Alaska</v>
    <v>31c4c7a1-54e7-4306-ac9b-f1b02e85bda5</v>
    <v>en-GB</v>
    <v>Map</v>
  </rv>
  <rv s="0">
    <v>536870912</v>
    <v>Alabama</v>
    <v>376f8b06-52f6-4e72-a31d-311a3563e645</v>
    <v>en-GB</v>
    <v>Map</v>
  </rv>
  <rv s="0">
    <v>536870912</v>
    <v>United States Virgin Islands</v>
    <v>38bd827b-bc00-140e-85be-46a96078429c</v>
    <v>en-GB</v>
    <v>Map</v>
  </rv>
  <rv s="0">
    <v>536870912</v>
    <v>Nebraska</v>
    <v>3e64ff5d-6b40-4dbe-91b1-0e554e892496</v>
    <v>en-GB</v>
    <v>Map</v>
  </rv>
  <rv s="0">
    <v>536870912</v>
    <v>Illinois</v>
    <v>4131acb8-628a-4241-8920-ca79eab9dade</v>
    <v>en-GB</v>
    <v>Map</v>
  </rv>
  <rv s="0">
    <v>536870912</v>
    <v>Montana</v>
    <v>447d6cd5-53f6-4c8f-bf6c-9ff228415c3b</v>
    <v>en-GB</v>
    <v>Map</v>
  </rv>
  <rv s="0">
    <v>536870912</v>
    <v>Maryland</v>
    <v>4c472f4d-06a8-4d90-8bb8-da4d168c73fe</v>
    <v>en-GB</v>
    <v>Map</v>
  </rv>
  <rv s="0">
    <v>536870912</v>
    <v>Florida</v>
    <v>5fece3f4-e8e8-4159-843e-f725a930ad50</v>
    <v>en-GB</v>
    <v>Map</v>
  </rv>
  <rv s="0">
    <v>536870912</v>
    <v>Missouri</v>
    <v>6185f8cb-44e1-4da6-9bf0-b75286aeb591</v>
    <v>en-GB</v>
    <v>Map</v>
  </rv>
  <rv s="0">
    <v>536870912</v>
    <v>Pennsylvania</v>
    <v>6304580e-c803-4266-818a-971619176547</v>
    <v>en-GB</v>
    <v>Map</v>
  </rv>
  <rv s="0">
    <v>536870912</v>
    <v>Rhode Island</v>
    <v>65a08f52-b469-4f7c-8353-9b3c0b2a5752</v>
    <v>en-GB</v>
    <v>Map</v>
  </rv>
  <rv s="0">
    <v>536870912</v>
    <v>Mississippi</v>
    <v>6af619ca-217d-49c0-9a86-153fc7fbcd78</v>
    <v>en-GB</v>
    <v>Map</v>
  </rv>
  <rv s="0">
    <v>536870912</v>
    <v>Kansas</v>
    <v>6e527b71-bd3e-4bc1-b1c0-59d288b4fd5e</v>
    <v>en-GB</v>
    <v>Map</v>
  </rv>
  <rv s="0">
    <v>536870912</v>
    <v>Ohio</v>
    <v>6f3df7da-1ef6-48e3-b2b3-b5b5fce3e846</v>
    <v>en-GB</v>
    <v>Map</v>
  </rv>
  <rv s="0">
    <v>536870912</v>
    <v>Puerto Rico</v>
    <v>72752f4d-11d3-5470-b64e-b9e012b0520f</v>
    <v>en-GB</v>
    <v>Map</v>
  </rv>
  <rv s="0">
    <v>536870912</v>
    <v>Iowa</v>
    <v>77850824-b07a-487a-af58-37f9949afc27</v>
    <v>en-GB</v>
    <v>Map</v>
  </rv>
  <rv s="0">
    <v>536870912</v>
    <v>Minnesota</v>
    <v>77f97f6f-7e93-46e5-b486-6198effe8dea</v>
    <v>en-GB</v>
    <v>Map</v>
  </rv>
  <rv s="0">
    <v>536870912</v>
    <v>North Dakota</v>
    <v>77fbc744-3efe-4aa9-9e8e-f8034f06b941</v>
    <v>en-GB</v>
    <v>Map</v>
  </rv>
  <rv s="0">
    <v>536870912</v>
    <v>Virginia</v>
    <v>7eee9976-e8a7-472c-ada1-007208abd678</v>
    <v>en-GB</v>
    <v>Map</v>
  </rv>
  <rv s="0">
    <v>536870912</v>
    <v>South Carolina</v>
    <v>810015e8-b10b-4232-9e2c-de87a67bd26e</v>
    <v>en-GB</v>
    <v>Map</v>
  </rv>
  <rv s="0">
    <v>536870912</v>
    <v>Massachusetts</v>
    <v>845219d5-3650-4199-b926-964ca27c863c</v>
    <v>en-GB</v>
    <v>Map</v>
  </rv>
  <rv s="0">
    <v>536870912</v>
    <v>Georgia</v>
    <v>84604bc7-2c47-4f8d-8ea5-b6ac8c018a20</v>
    <v>en-GB</v>
    <v>Map</v>
  </rv>
  <rv s="0">
    <v>536870912</v>
    <v>West Virginia</v>
    <v>8a47255a-fae3-4faa-aa32-c6f384cb6c1d</v>
    <v>en-GB</v>
    <v>Map</v>
  </rv>
  <rv s="0">
    <v>536870912</v>
    <v>Delaware</v>
    <v>8ad617cc-3d7a-4b3c-a787-098de959ccc4</v>
    <v>en-GB</v>
    <v>Map</v>
  </rv>
  <rv s="0">
    <v>536870912</v>
    <v>Washington</v>
    <v>982ad551-fd5d-45df-bd70-bf704dd576e4</v>
    <v>en-GB</v>
    <v>Map</v>
  </rv>
  <rv s="0">
    <v>536870912</v>
    <v>Tennessee</v>
    <v>9bbc9c72-1bf1-4ef6-b66d-a6cdef70f4f3</v>
    <v>en-GB</v>
    <v>Map</v>
  </rv>
  <rv s="0">
    <v>536870912</v>
    <v>New Hampshire</v>
    <v>9ca71997-cc97-46eb-8911-fac32f80b0b1</v>
    <v>en-GB</v>
    <v>Map</v>
  </rv>
  <rv s="0">
    <v>536870912</v>
    <v>South Dakota</v>
    <v>9cee0b65-d357-479e-a066-31c634648f47</v>
    <v>en-GB</v>
    <v>Map</v>
  </rv>
  <rv s="0">
    <v>536870912</v>
    <v>North Carolina</v>
    <v>9e2bf053-dd80-4646-8f26-65075e7085c0</v>
    <v>en-GB</v>
    <v>Map</v>
  </rv>
  <rv s="0">
    <v>536870912</v>
    <v>Colorado</v>
    <v>a070c5c2-b22d-41d8-b869-f20e583c4f80</v>
    <v>en-GB</v>
    <v>Map</v>
  </rv>
  <rv s="0">
    <v>536870912</v>
    <v>New Mexico</v>
    <v>a16d3636-4349-41c7-a77e-89e34b26a8ad</v>
    <v>en-GB</v>
    <v>Map</v>
  </rv>
  <rv s="0">
    <v>536870912</v>
    <v>Connecticut</v>
    <v>b3ca6523-435e-4a3b-8f78-1ad900a52cf8</v>
    <v>en-GB</v>
    <v>Map</v>
  </rv>
  <rv s="0">
    <v>536870912</v>
    <v>Hawaii</v>
    <v>b6f01eaf-aecf-44f6-b64d-1f6e982365c3</v>
    <v>en-GB</v>
    <v>Map</v>
  </rv>
  <rv s="0">
    <v>536870912</v>
    <v>Arkansas</v>
    <v>b939db72-08f2-4ea6-a16a-a53bf32e6612</v>
    <v>en-GB</v>
    <v>Map</v>
  </rv>
  <rv s="0">
    <v>536870912</v>
    <v>Arizona</v>
    <v>bf973f46-5962-4997-a7ba-a05f1aa2a9f9</v>
    <v>en-GB</v>
    <v>Map</v>
  </rv>
  <rv s="0">
    <v>536870912</v>
    <v>Wyoming</v>
    <v>bff03ad6-2b7f-400b-a76e-eb9fc4a93961</v>
    <v>en-GB</v>
    <v>Map</v>
  </rv>
  <rv s="0">
    <v>536870912</v>
    <v>Nevada</v>
    <v>c2157d7e-617e-4517-80f8-1b08113afc14</v>
    <v>en-GB</v>
    <v>Map</v>
  </rv>
  <rv s="0">
    <v>536870912</v>
    <v>Utah</v>
    <v>c6705e44-d27f-4240-95a2-54e802e3b524</v>
    <v>en-GB</v>
    <v>Map</v>
  </rv>
  <rv s="0">
    <v>536870912</v>
    <v>Oregon</v>
    <v>cacd36fd-7c62-43e2-a632-64a2a1811933</v>
    <v>en-GB</v>
    <v>Map</v>
  </rv>
  <rv s="0">
    <v>536870912</v>
    <v>New York</v>
    <v>caeb7b9a-f5d7-4686-8fb5-cf7628296b13</v>
    <v>en-GB</v>
    <v>Map</v>
  </rv>
  <rv s="0">
    <v>536870912</v>
    <v>Wisconsin</v>
    <v>cb4d2853-06f4-4467-8e7c-4e31cbb35cb2</v>
    <v>en-GB</v>
    <v>Map</v>
  </rv>
  <rv s="0">
    <v>536870912</v>
    <v>Oklahoma</v>
    <v>cbcf556f-952a-4665-bb95-0500b27f9976</v>
    <v>en-GB</v>
    <v>Map</v>
  </rv>
  <rv s="0">
    <v>536870912</v>
    <v>Maine</v>
    <v>d62dd683-9cf9-4db9-a497-d810d529592b</v>
    <v>en-GB</v>
    <v>Map</v>
  </rv>
  <rv s="0">
    <v>536870912</v>
    <v>Idaho</v>
    <v>ecd30387-20fa-4523-9045-e2860154b5e9</v>
    <v>en-GB</v>
    <v>Map</v>
  </rv>
  <rv s="0">
    <v>536870912</v>
    <v>Northern Mariana Islands</v>
    <v>f4475436-adda-9ff0-b5fe-6c3dff0e26be</v>
    <v>en-GB</v>
    <v>Map</v>
  </rv>
  <rv s="0">
    <v>536870912</v>
    <v>Guam</v>
    <v>f842c067-b461-3084-6a3b-6c6c7431fc9a</v>
    <v>en-GB</v>
    <v>Map</v>
  </rv>
  <rv s="3">
    <v>16</v>
  </rv>
  <rv s="1">
    <fb>9.5866513904898809E-2</fb>
    <v>24</v>
  </rv>
  <rv s="3">
    <v>17</v>
  </rv>
  <rv s="1">
    <fb>0.36599999999999999</fb>
    <v>24</v>
  </rv>
  <rv s="1">
    <fb>0.14699999999999999</fb>
    <v>33</v>
  </rv>
  <rv s="1">
    <fb>270663028</fb>
    <v>25</v>
  </rv>
  <rv s="6">
    <v>#VALUE!</v>
    <v>en-GB</v>
    <v>5232ed96-85b1-2edb-12c6-63e6c597a1de</v>
    <v>536870912</v>
    <v>1</v>
    <v>56</v>
    <v>38</v>
    <v>United States</v>
    <v>20</v>
    <v>21</v>
    <v>Map</v>
    <v>22</v>
    <v>57</v>
    <v>US</v>
    <v>233</v>
    <v>234</v>
    <v>235</v>
    <v>236</v>
    <v>237</v>
    <v>238</v>
    <v>239</v>
    <v>240</v>
    <v>241</v>
    <v>USD</v>
    <v>The United States of America, commonly known as the United States or informally as America, is a country primarily located in North America consisting of 50 states, a federal district, five major unincorporated territories, nine Minor Outlying Islands, and 326 Indian reservations. It is the world's third-largest country by both land and total area. It shares land borders with Canada to its north and with Mexico to its south and has maritime borders with the Bahamas, Cuba, Russia, and other nations. With a population of over 333 million, it is the most populous country in the Americas and the third-most populous in the world. The national capital of the United States is Washington, D.C., and its most populous city and principal financial center is New York City.</v>
    <v>242</v>
    <v>243</v>
    <v>244</v>
    <v>245</v>
    <v>246</v>
    <v>247</v>
    <v>248</v>
    <v>249</v>
    <v>250</v>
    <v>251</v>
    <v>252</v>
    <v>256</v>
    <v>257</v>
    <v>258</v>
    <v>259</v>
    <v>260</v>
    <v>261</v>
    <v>United States</v>
    <v>The Star-Spangled Banner</v>
    <v>160</v>
    <v>the United States of America</v>
    <v>262</v>
    <v>263</v>
    <v>264</v>
    <v>265</v>
    <v>266</v>
    <v>267</v>
    <v>268</v>
    <v>269</v>
    <v>270</v>
    <v>271</v>
    <v>272</v>
    <v>328</v>
    <v>329</v>
    <v>330</v>
    <v>331</v>
    <v>332</v>
    <v>United States</v>
    <v>333</v>
    <v>mdp/vdpid/244</v>
  </rv>
  <rv s="0">
    <v>536870912</v>
    <v>France</v>
    <v>c7bfe2de-4f82-e23c-ae42-8544b5b5c0ea</v>
    <v>en-GB</v>
    <v>Map</v>
  </rv>
  <rv s="1">
    <fb>0.524475441661716</fb>
    <v>24</v>
  </rv>
  <rv s="1">
    <fb>643801</fb>
    <v>25</v>
  </rv>
  <rv s="1">
    <fb>307000</fb>
    <v>25</v>
  </rv>
  <rv s="1">
    <fb>11.3</fb>
    <v>26</v>
  </rv>
  <rv s="1">
    <fb>33</fb>
    <v>27</v>
  </rv>
  <rv s="0">
    <v>536870912</v>
    <v>Paris</v>
    <v>85584d24-2116-5b98-89f9-5714db931ac6</v>
    <v>en-GB</v>
    <v>Map</v>
  </rv>
  <rv s="1">
    <fb>303275.56800000003</fb>
    <v>25</v>
  </rv>
  <rv s="1">
    <fb>110.04856675289</fb>
    <v>28</v>
  </rv>
  <rv s="1">
    <fb>1.1082549228829199E-2</fb>
    <v>24</v>
  </rv>
  <rv s="1">
    <fb>6939.5214736692897</fb>
    <v>25</v>
  </rv>
  <rv s="1">
    <fb>1.88</fb>
    <v>26</v>
  </rv>
  <rv s="1">
    <fb>0.31233278442262596</fb>
    <v>24</v>
  </rv>
  <rv s="1">
    <fb>46.487970872236403</fb>
    <v>29</v>
  </rv>
  <rv s="1">
    <fb>1.39</fb>
    <v>30</v>
  </rv>
  <rv s="1">
    <fb>2715518274227.4502</fb>
    <v>31</v>
  </rv>
  <rv s="1">
    <fb>1.0251076000000001</fb>
    <v>24</v>
  </rv>
  <rv s="1">
    <fb>0.65629000000000004</fb>
    <v>24</v>
  </rv>
  <rv s="2">
    <v>5</v>
    <v>22</v>
    <v>64</v>
    <v>7</v>
    <v>0</v>
    <v>Image of France</v>
  </rv>
  <rv s="1">
    <fb>3.4</fb>
    <v>29</v>
  </rv>
  <rv s="0">
    <v>805306368</v>
    <v>Emmanuel Macron (President)</v>
    <v>35be5a56-7a78-6352-b158-60da8f84c858</v>
    <v>en-GB</v>
    <v>Generic</v>
  </rv>
  <rv s="0">
    <v>805306368</v>
    <v>Élisabeth Borne (Prime minister)</v>
    <v>c29b2cc1-1c10-86a9-30a2-9ab14a3d6e89</v>
    <v>en-GB</v>
    <v>Generic</v>
  </rv>
  <rv s="3">
    <v>18</v>
  </rv>
  <rv s="4">
    <v>https://www.bing.com/search?q=france&amp;form=skydnc</v>
    <v>Learn more on Bing</v>
  </rv>
  <rv s="1">
    <fb>82.526829268292701</fb>
    <v>29</v>
  </rv>
  <rv s="1">
    <fb>2365950236659.3599</fb>
    <v>31</v>
  </rv>
  <rv s="1">
    <fb>8</fb>
    <v>29</v>
  </rv>
  <rv s="1">
    <fb>11.16</fb>
    <v>30</v>
  </rv>
  <rv s="3">
    <v>19</v>
  </rv>
  <rv s="1">
    <fb>6.7968269799999995E-2</fb>
    <v>24</v>
  </rv>
  <rv s="1">
    <fb>3.2671999999999999</fb>
    <v>26</v>
  </rv>
  <rv s="1">
    <fb>67749632</fb>
    <v>25</v>
  </rv>
  <rv s="1">
    <fb>0.25800000000000001</fb>
    <v>24</v>
  </rv>
  <rv s="1">
    <fb>0.4</fb>
    <v>24</v>
  </rv>
  <rv s="1">
    <fb>3.2000000000000001E-2</fb>
    <v>24</v>
  </rv>
  <rv s="1">
    <fb>8.1000000000000003E-2</fb>
    <v>24</v>
  </rv>
  <rv s="1">
    <fb>0.13</fb>
    <v>24</v>
  </rv>
  <rv s="1">
    <fb>0.16899999999999998</fb>
    <v>24</v>
  </rv>
  <rv s="1">
    <fb>0.55125999450683605</fb>
    <v>24</v>
  </rv>
  <rv s="0">
    <v>536870912</v>
    <v>Upper Normandy</v>
    <v>0324bd0d-cd0a-fe01-1f71-70579924e18c</v>
    <v>en-GB</v>
    <v>Map</v>
  </rv>
  <rv s="0">
    <v>536870912</v>
    <v>Burgundy</v>
    <v>06ca183a-a062-7837-ca1b-fca8aad09ba2</v>
    <v>en-GB</v>
    <v>Map</v>
  </rv>
  <rv s="0">
    <v>536870912</v>
    <v>Limousin</v>
    <v>0a8e1361-6dd8-6e0b-83df-32e9b09d263d</v>
    <v>en-GB</v>
    <v>Map</v>
  </rv>
  <rv s="0">
    <v>536870912</v>
    <v>Auvergne</v>
    <v>0bb87624-ee23-d93e-9f3b-2b56de0faa8d</v>
    <v>en-GB</v>
    <v>Map</v>
  </rv>
  <rv s="0">
    <v>536870912</v>
    <v>Clipperton Island</v>
    <v>15fb63fc-f501-7360-7d44-f26d1501209e</v>
    <v>en-GB</v>
    <v>Map</v>
  </rv>
  <rv s="0">
    <v>536870912</v>
    <v>Midi-Pyrénées</v>
    <v>25933788-01e8-ff17-7059-d612ceb66281</v>
    <v>en-GB</v>
    <v>Map</v>
  </rv>
  <rv s="0">
    <v>536870912</v>
    <v>New Caledonia</v>
    <v>25b2aeab-b390-d01e-1f7f-90be767bd899</v>
    <v>en-GB</v>
    <v>Map</v>
  </rv>
  <rv s="0">
    <v>536870912</v>
    <v>Languedoc-Roussillon</v>
    <v>27c68840-a9ac-1645-c44a-21e34fbae442</v>
    <v>en-GB</v>
    <v>Map</v>
  </rv>
  <rv s="0">
    <v>536870912</v>
    <v>Rhône-Alpes</v>
    <v>27f90c5d-881e-4a27-d3c8-7d86c04fc305</v>
    <v>en-GB</v>
    <v>Map</v>
  </rv>
  <rv s="0">
    <v>536870912</v>
    <v>Collectivity of Saint Martin</v>
    <v>281a8fb2-1b63-4320-5d31-8f0fb46c4f1a</v>
    <v>en-GB</v>
    <v>Map</v>
  </rv>
  <rv s="0">
    <v>536870912</v>
    <v>French Guiana</v>
    <v>328feb88-20d1-8674-1574-3ce8cc0bc9e9</v>
    <v>en-GB</v>
    <v>Map</v>
  </rv>
  <rv s="0">
    <v>536870912</v>
    <v>French Polynesia</v>
    <v>340e15d5-6b74-8497-bbfa-4c1f323f5483</v>
    <v>en-GB</v>
    <v>Map</v>
  </rv>
  <rv s="0">
    <v>536870912</v>
    <v>Bourgogne-Franche-Comté</v>
    <v>4bc8dff1-8d72-5341-f405-63c7be8c6672</v>
    <v>en-GB</v>
    <v>Map</v>
  </rv>
  <rv s="0">
    <v>536870912</v>
    <v>Lower Normandy</v>
    <v>4c48a4b2-fbbc-6d2a-70fd-c16842dc79b8</v>
    <v>en-GB</v>
    <v>Map</v>
  </rv>
  <rv s="0">
    <v>536870912</v>
    <v>Hauts-de-France</v>
    <v>4eb2d0b0-8845-48d0-9343-9ba3e7fe81a0</v>
    <v>en-GB</v>
    <v>Map</v>
  </rv>
  <rv s="0">
    <v>536870912</v>
    <v>Normandy</v>
    <v>4f34d048-1816-4f6e-94dc-0b643a749671</v>
    <v>en-GB</v>
    <v>Map</v>
  </rv>
  <rv s="0">
    <v>536870912</v>
    <v>Occitania</v>
    <v>5105d172-dc70-689f-09ab-4163a747508a</v>
    <v>en-GB</v>
    <v>Map</v>
  </rv>
  <rv s="0">
    <v>536870912</v>
    <v>Mayotte</v>
    <v>545cc8bc-c211-076d-ee26-d2ff955eb394</v>
    <v>en-GB</v>
    <v>Map</v>
  </rv>
  <rv s="0">
    <v>536870912</v>
    <v>Guadeloupe</v>
    <v>56b80aaa-d840-1a73-13ba-70eb9b61a642</v>
    <v>en-GB</v>
    <v>Map</v>
  </rv>
  <rv s="0">
    <v>536870912</v>
    <v>Saint Barthélemy</v>
    <v>5c5081a9-306e-4f05-73a2-32b95a4b8600</v>
    <v>en-GB</v>
    <v>Map</v>
  </rv>
  <rv s="0">
    <v>536870912</v>
    <v>Provence-Alpes-Côte d'Azur</v>
    <v>66cd1ae3-f633-45f9-93bd-73ca67bffb25</v>
    <v>en-GB</v>
    <v>Map</v>
  </rv>
  <rv s="0">
    <v>536870912</v>
    <v>Centre-Val de Loire</v>
    <v>6aafd8c4-aba3-0388-62a3-d302e77f40c4</v>
    <v>en-GB</v>
    <v>Map</v>
  </rv>
  <rv s="0">
    <v>536870912</v>
    <v>Nouvelle-Aquitaine</v>
    <v>7955f423-af31-d2e0-f045-b14668178865</v>
    <v>en-GB</v>
    <v>Map</v>
  </rv>
  <rv s="0">
    <v>536870912</v>
    <v>Réunion</v>
    <v>7d1fa0b0-e3d7-d903-d64d-489c03fd0a75</v>
    <v>en-GB</v>
    <v>Map</v>
  </rv>
  <rv s="0">
    <v>536870912</v>
    <v>Lorraine</v>
    <v>7dae0b7d-e5be-9ff5-17cd-e7fae522b547</v>
    <v>en-GB</v>
    <v>Map</v>
  </rv>
  <rv s="0">
    <v>536870912</v>
    <v>Corsica</v>
    <v>7dae6ff4-03ba-2162-da4b-d4cf544ad43f</v>
    <v>en-GB</v>
    <v>Map</v>
  </rv>
  <rv s="0">
    <v>536870912</v>
    <v>Brittany</v>
    <v>809fb739-638d-2499-95bd-c8e5b10153ee</v>
    <v>en-GB</v>
    <v>Map</v>
  </rv>
  <rv s="0">
    <v>536870912</v>
    <v>Champagne-Ardenne</v>
    <v>81f7c0d6-46c4-b119-4a4e-2a2cc7b16b0a</v>
    <v>en-GB</v>
    <v>Map</v>
  </rv>
  <rv s="0">
    <v>536870912</v>
    <v>Picardy</v>
    <v>893d637c-dbb2-1d71-abc6-1f00cec1ffd9</v>
    <v>en-GB</v>
    <v>Map</v>
  </rv>
  <rv s="0">
    <v>536870912</v>
    <v>Nord-Pas-de-Calais</v>
    <v>9a35af69-7ed6-f0a2-7689-7c2e6956b965</v>
    <v>en-GB</v>
    <v>Map</v>
  </rv>
  <rv s="0">
    <v>536870912</v>
    <v>Pays de la Loire</v>
    <v>a6129a88-a4cd-2b75-1a35-f5d0639f17ae</v>
    <v>en-GB</v>
    <v>Map</v>
  </rv>
  <rv s="0">
    <v>536870912</v>
    <v>Saint Pierre and Miquelon</v>
    <v>aa096cf4-a54e-cd44-7204-c28310ca40f4</v>
    <v>en-GB</v>
    <v>Map</v>
  </rv>
  <rv s="0">
    <v>536870912</v>
    <v>Aquitaine</v>
    <v>afa9099b-0e00-0d74-59f2-28200675a220</v>
    <v>en-GB</v>
    <v>Map</v>
  </rv>
  <rv s="0">
    <v>536870912</v>
    <v>Auvergne-Rhône-Alpes</v>
    <v>b53940d0-b739-faf5-78d1-93f189f878c9</v>
    <v>en-GB</v>
    <v>Map</v>
  </rv>
  <rv s="0">
    <v>536870912</v>
    <v>French Southern and Antarctic Lands</v>
    <v>b9d52319-44ee-bf16-d95f-72397f26ce4a</v>
    <v>en-GB</v>
    <v>Map</v>
  </rv>
  <rv s="0">
    <v>536870912</v>
    <v>Île-de-France</v>
    <v>ba200862-fc37-6d22-3434-c6e709faa507</v>
    <v>en-GB</v>
    <v>Map</v>
  </rv>
  <rv s="0">
    <v>536870912</v>
    <v>Wallis and Futuna</v>
    <v>db8aa235-58e4-9e3d-8799-6839f3d35025</v>
    <v>en-GB</v>
    <v>Map</v>
  </rv>
  <rv s="0">
    <v>536870912</v>
    <v>Poitou-Charentes</v>
    <v>dd40b231-2173-99b7-2a34-a8a61e6e9e38</v>
    <v>en-GB</v>
    <v>Map</v>
  </rv>
  <rv s="0">
    <v>536870912</v>
    <v>Franche-Comté</v>
    <v>df1d1107-5bee-3422-ded2-16e960904d7b</v>
    <v>en-GB</v>
    <v>Map</v>
  </rv>
  <rv s="0">
    <v>536870912</v>
    <v>Grand Est</v>
    <v>e2f60e84-1701-6d84-e960-ba87138e3631</v>
    <v>en-GB</v>
    <v>Map</v>
  </rv>
  <rv s="0">
    <v>536870912</v>
    <v>Martinique</v>
    <v>f245adef-ee09-9352-e265-2a287e5eadbe</v>
    <v>en-GB</v>
    <v>Map</v>
  </rv>
  <rv s="3">
    <v>20</v>
  </rv>
  <rv s="1">
    <fb>0.24229980509910898</fb>
    <v>24</v>
  </rv>
  <rv s="3">
    <v>21</v>
  </rv>
  <rv s="1">
    <fb>0.60699999999999998</fb>
    <v>24</v>
  </rv>
  <rv s="1">
    <fb>8.4270000457763714E-2</fb>
    <v>33</v>
  </rv>
  <rv s="1">
    <fb>54123364</fb>
    <v>25</v>
  </rv>
  <rv s="6">
    <v>#VALUE!</v>
    <v>en-GB</v>
    <v>c7bfe2de-4f82-e23c-ae42-8544b5b5c0ea</v>
    <v>536870912</v>
    <v>1</v>
    <v>62</v>
    <v>38</v>
    <v>France</v>
    <v>20</v>
    <v>21</v>
    <v>Map</v>
    <v>22</v>
    <v>63</v>
    <v>FR</v>
    <v>336</v>
    <v>337</v>
    <v>338</v>
    <v>339</v>
    <v>340</v>
    <v>341</v>
    <v>342</v>
    <v>343</v>
    <v>344</v>
    <v>EUR</v>
    <v>France, officially the French Republic, is a country located primarily in Western Europe. It also includes overseas regions and territories in the Americas and the Atlantic, Pacific and Indian Oceans, giving it one of the largest discontiguous exclusive economic zones in the world. Its metropolitan area extends from the Rhine to the Atlantic Ocean and from the Mediterranean Sea to the English Channel and the North Sea; overseas territories include French Guiana in South America, Saint Pierre and Miquelon in the North Atlantic, the French West Indies, and many islands in Oceania and the Indian Ocean. Its eighteen integral regions span a combined area of 643,801 km² and have a total population of over 68 million as of January 2023. France is a unitary semi-presidential republic with its capital in Paris, the country's largest city and main cultural and commercial centre; other major urban areas include Marseille, Lyon, Toulouse, Lille, Bordeaux, Strasbourg and Nice.</v>
    <v>345</v>
    <v>346</v>
    <v>347</v>
    <v>348</v>
    <v>349</v>
    <v>350</v>
    <v>351</v>
    <v>352</v>
    <v>353</v>
    <v>354</v>
    <v>341</v>
    <v>357</v>
    <v>358</v>
    <v>359</v>
    <v>360</v>
    <v>361</v>
    <v>362</v>
    <v>France</v>
    <v>La Marseillaise</v>
    <v>363</v>
    <v>Francouzská republika</v>
    <v>364</v>
    <v>365</v>
    <v>366</v>
    <v>213</v>
    <v>367</v>
    <v>368</v>
    <v>369</v>
    <v>370</v>
    <v>371</v>
    <v>372</v>
    <v>373</v>
    <v>415</v>
    <v>416</v>
    <v>417</v>
    <v>418</v>
    <v>419</v>
    <v>France</v>
    <v>420</v>
    <v>mdp/vdpid/84</v>
  </rv>
  <rv s="0">
    <v>536870912</v>
    <v>Slovenia</v>
    <v>4982784a-4967-52d1-c08e-ffd0f091566e</v>
    <v>en-GB</v>
    <v>Map</v>
  </rv>
  <rv s="1">
    <fb>0.30656339759590101</fb>
    <v>24</v>
  </rv>
  <rv s="1">
    <fb>20271</fb>
    <v>25</v>
  </rv>
  <rv s="1">
    <fb>7000</fb>
    <v>25</v>
  </rv>
  <rv s="1">
    <fb>9.4</fb>
    <v>26</v>
  </rv>
  <rv s="1">
    <fb>386</fb>
    <v>27</v>
  </rv>
  <rv s="0">
    <v>536870912</v>
    <v>Ljubljana</v>
    <v>692acddf-5ab9-3bdd-6312-19b898edc3c2</v>
    <v>en-GB</v>
    <v>Map</v>
  </rv>
  <rv s="1">
    <fb>12632.815000000001</fb>
    <v>25</v>
  </rv>
  <rv s="1">
    <fb>111.051074912815</fb>
    <v>28</v>
  </rv>
  <rv s="1">
    <fb>1.6305226075433801E-2</fb>
    <v>24</v>
  </rv>
  <rv s="1">
    <fb>6727.9993016421104</fb>
    <v>25</v>
  </rv>
  <rv s="1">
    <fb>1.6</fb>
    <v>26</v>
  </rv>
  <rv s="1">
    <fb>0.61970011986429907</fb>
    <v>24</v>
  </rv>
  <rv s="1">
    <fb>61.114199486891998</fb>
    <v>29</v>
  </rv>
  <rv s="1">
    <fb>1.32</fb>
    <v>30</v>
  </rv>
  <rv s="1">
    <fb>53742159516.927803</fb>
    <v>31</v>
  </rv>
  <rv s="1">
    <fb>1.0039673999999998</fb>
    <v>24</v>
  </rv>
  <rv s="1">
    <fb>0.78588999999999998</fb>
    <v>24</v>
  </rv>
  <rv s="2">
    <v>6</v>
    <v>22</v>
    <v>70</v>
    <v>7</v>
    <v>0</v>
    <v>Image of Slovenia</v>
  </rv>
  <rv s="1">
    <fb>1.7</fb>
    <v>29</v>
  </rv>
  <rv s="0">
    <v>805306368</v>
    <v>Robert Golob (Prime minister)</v>
    <v>520708e8-d129-bc6f-c374-2d90c03e2703</v>
    <v>en-GB</v>
    <v>Generic</v>
  </rv>
  <rv s="0">
    <v>805306368</v>
    <v>Nataša Pirc Musar (President)</v>
    <v>d6e983fd-ed88-47fa-3eaf-3d59eb5d7466</v>
    <v>en-GB</v>
    <v>Generic</v>
  </rv>
  <rv s="3">
    <v>22</v>
  </rv>
  <rv s="4">
    <v>https://www.bing.com/search?q=slovenia&amp;form=skydnc</v>
    <v>Learn more on Bing</v>
  </rv>
  <rv s="1">
    <fb>81.0292682926829</fb>
    <v>29</v>
  </rv>
  <rv s="1">
    <fb>7923300000</fb>
    <v>31</v>
  </rv>
  <rv s="1">
    <fb>5.25</fb>
    <v>30</v>
  </rv>
  <rv s="3">
    <v>23</v>
  </rv>
  <rv s="1">
    <fb>0.125241191</fb>
    <v>24</v>
  </rv>
  <rv s="1">
    <fb>3.0861000000000001</fb>
    <v>26</v>
  </rv>
  <rv s="1">
    <fb>2116972</fb>
    <v>25</v>
  </rv>
  <rv s="1">
    <fb>0.20399999999999999</fb>
    <v>24</v>
  </rv>
  <rv s="1">
    <fb>0.34399999999999997</fb>
    <v>24</v>
  </rv>
  <rv s="1">
    <fb>4.0999999999999995E-2</fb>
    <v>24</v>
  </rv>
  <rv s="1">
    <fb>0.1</fb>
    <v>24</v>
  </rv>
  <rv s="1">
    <fb>0.14800000000000002</fb>
    <v>24</v>
  </rv>
  <rv s="1">
    <fb>0.183</fb>
    <v>24</v>
  </rv>
  <rv s="1">
    <fb>0.58361000061035195</fb>
    <v>24</v>
  </rv>
  <rv s="0">
    <v>536870912</v>
    <v>Municipality of Ilirska Bistrica</v>
    <v>0012cd22-ec2f-44ff-a277-0a9209b17616</v>
    <v>en-GB</v>
    <v>Map</v>
  </rv>
  <rv s="0">
    <v>536870912</v>
    <v>Municipality of Ribnica na Pohorju</v>
    <v>035d5208-b040-a366-897f-4b7cd7487930</v>
    <v>en-GB</v>
    <v>Map</v>
  </rv>
  <rv s="0">
    <v>536870912</v>
    <v>Urban Municipality of Murska Sobota</v>
    <v>05e2b813-5069-8cbe-6653-24791383acad</v>
    <v>en-GB</v>
    <v>Map</v>
  </rv>
  <rv s="0">
    <v>536870912</v>
    <v>Municipality of Šoštanj</v>
    <v>087d824f-75aa-4050-96df-3a5dab14d8c7</v>
    <v>en-GB</v>
    <v>Map</v>
  </rv>
  <rv s="0">
    <v>536870912</v>
    <v>Municipality of Lovrenc na Pohorju</v>
    <v>1131334e-4177-47a5-8935-9bc1b8c845af</v>
    <v>en-GB</v>
    <v>Map</v>
  </rv>
  <rv s="0">
    <v>536870912</v>
    <v>Municipality of Naklo</v>
    <v>11380975-60b5-4966-fbe3-9a3250b3a68b</v>
    <v>en-GB</v>
    <v>Map</v>
  </rv>
  <rv s="0">
    <v>536870912</v>
    <v>Municipality of Pesnica</v>
    <v>12c6baa9-cdac-e528-61fd-44e3449331d0</v>
    <v>en-GB</v>
    <v>Map</v>
  </rv>
  <rv s="0">
    <v>536870912</v>
    <v>Municipality of Središče ob Dravi</v>
    <v>1388e94e-7d63-4610-761a-f8aaae58605b</v>
    <v>en-GB</v>
    <v>Map</v>
  </rv>
  <rv s="0">
    <v>536870912</v>
    <v>Urban Municipality of Krško</v>
    <v>1452fc42-2f20-497c-b891-3f9711c6ee54</v>
    <v>en-GB</v>
    <v>Map</v>
  </rv>
  <rv s="0">
    <v>536870912</v>
    <v>Municipality of Škofja Loka</v>
    <v>15e2d3a1-0921-48e4-9cba-ada833e53279</v>
    <v>en-GB</v>
    <v>Map</v>
  </rv>
  <rv s="0">
    <v>536870912</v>
    <v>Municipality of Dornava</v>
    <v>166cff39-51d5-4e7c-99db-eb571049ec16</v>
    <v>en-GB</v>
    <v>Map</v>
  </rv>
  <rv s="0">
    <v>536870912</v>
    <v>Municipality of Majšperk</v>
    <v>172c3fc2-3a5d-4a26-9af6-924b93061fb0</v>
    <v>en-GB</v>
    <v>Map</v>
  </rv>
  <rv s="0">
    <v>536870912</v>
    <v>Municipality of Domžale</v>
    <v>174d6aff-5ffc-4941-8eb1-07c08328dd92</v>
    <v>en-GB</v>
    <v>Map</v>
  </rv>
  <rv s="0">
    <v>536870912</v>
    <v>Municipality of Trzin</v>
    <v>17fed674-80fa-93b9-2383-4be831e723dd</v>
    <v>en-GB</v>
    <v>Map</v>
  </rv>
  <rv s="0">
    <v>536870912</v>
    <v>Municipality of Tabor</v>
    <v>18a9d0c3-cc60-1a96-a372-aaa5ab31184b</v>
    <v>en-GB</v>
    <v>Map</v>
  </rv>
  <rv s="0">
    <v>536870912</v>
    <v>Municipality of Solčava</v>
    <v>1988486a-930a-92f0-bc88-f7b00a880de5</v>
    <v>en-GB</v>
    <v>Map</v>
  </rv>
  <rv s="0">
    <v>536870912</v>
    <v>Municipality of Horjul</v>
    <v>1b15adb4-fda2-957c-5728-4b5ae73adb17</v>
    <v>en-GB</v>
    <v>Map</v>
  </rv>
  <rv s="0">
    <v>536870912</v>
    <v>Municipality of Luče</v>
    <v>1b6b2f19-5954-def0-cae4-97ca90fe52a0</v>
    <v>en-GB</v>
    <v>Map</v>
  </rv>
  <rv s="0">
    <v>536870912</v>
    <v>Municipality of Škocjan</v>
    <v>1d48bed2-934f-4331-bfa1-9139441ebe51</v>
    <v>en-GB</v>
    <v>Map</v>
  </rv>
  <rv s="0">
    <v>536870912</v>
    <v>Municipality of Razkrižje</v>
    <v>1fe228a1-de9a-4065-ba7c-4943411fe572</v>
    <v>en-GB</v>
    <v>Map</v>
  </rv>
  <rv s="0">
    <v>536870912</v>
    <v>Municipality of Borovnica</v>
    <v>22b916f0-67fd-4320-9f76-2a74322058e8</v>
    <v>en-GB</v>
    <v>Map</v>
  </rv>
  <rv s="0">
    <v>536870912</v>
    <v>Municipality of Dobrna</v>
    <v>22bff8d4-8c8c-449f-b90f-b1b4470be361</v>
    <v>en-GB</v>
    <v>Map</v>
  </rv>
  <rv s="0">
    <v>536870912</v>
    <v>Municipality of Grosuplje</v>
    <v>24c6acfb-3390-4af4-982d-6b58e1fe3afe</v>
    <v>en-GB</v>
    <v>Map</v>
  </rv>
  <rv s="0">
    <v>536870912</v>
    <v>Municipality of Metlika</v>
    <v>252f7128-cd64-7671-6137-216a3ae1f0f7</v>
    <v>en-GB</v>
    <v>Map</v>
  </rv>
  <rv s="0">
    <v>536870912</v>
    <v>Municipality of Trebnje</v>
    <v>2551f98c-fd81-46cd-9704-90d5157b8a7d</v>
    <v>en-GB</v>
    <v>Map</v>
  </rv>
  <rv s="0">
    <v>536870912</v>
    <v>Municipality of Slovenske Konjice</v>
    <v>29d34a49-0150-a3a4-148c-358ee5936e9a</v>
    <v>en-GB</v>
    <v>Map</v>
  </rv>
  <rv s="0">
    <v>536870912</v>
    <v>Municipality of Kobarid</v>
    <v>2a4cba2d-bf96-465f-9bb3-73b091cfc4bc</v>
    <v>en-GB</v>
    <v>Map</v>
  </rv>
  <rv s="0">
    <v>536870912</v>
    <v>Municipality of Laško</v>
    <v>301bdb97-f6e0-c1dd-2e76-b21ceccd57ea</v>
    <v>en-GB</v>
    <v>Map</v>
  </rv>
  <rv s="0">
    <v>536870912</v>
    <v>Municipality of Idrija</v>
    <v>305525d4-fec2-4451-b191-98e58b3e652d</v>
    <v>en-GB</v>
    <v>Map</v>
  </rv>
  <rv s="0">
    <v>536870912</v>
    <v>Urban Municipality of Slovenj Gradec</v>
    <v>309d93b6-7675-411c-b968-258e6b7d8b0f</v>
    <v>en-GB</v>
    <v>Map</v>
  </rv>
  <rv s="0">
    <v>536870912</v>
    <v>Municipality of Šentrupert</v>
    <v>33bdae3d-5f12-f41a-7783-9812948801e6</v>
    <v>en-GB</v>
    <v>Map</v>
  </rv>
  <rv s="0">
    <v>536870912</v>
    <v>Municipality of Bistrica ob Sotli</v>
    <v>34f5707e-443e-4c35-bf5f-8a6e014f3ade</v>
    <v>en-GB</v>
    <v>Map</v>
  </rv>
  <rv s="0">
    <v>536870912</v>
    <v>Municipality of Sevnica</v>
    <v>35e0a39f-7973-41d4-8057-b1414abaf87e</v>
    <v>en-GB</v>
    <v>Map</v>
  </rv>
  <rv s="0">
    <v>536870912</v>
    <v>Municipality of Gornja Radgona</v>
    <v>3666ec06-414a-43d4-bac2-38b61890dab6</v>
    <v>en-GB</v>
    <v>Map</v>
  </rv>
  <rv s="0">
    <v>536870912</v>
    <v>Vuzenica</v>
    <v>36d6761e-9889-2ccf-8be6-8df212dcd3d1</v>
    <v>en-GB</v>
    <v>Map</v>
  </rv>
  <rv s="0">
    <v>536870912</v>
    <v>Municipality of Hodoš</v>
    <v>36eafae6-24a1-48f2-8677-04ea6cc19fdb</v>
    <v>en-GB</v>
    <v>Map</v>
  </rv>
  <rv s="0">
    <v>536870912</v>
    <v>Municipality of Vrhnika</v>
    <v>38f8778f-7b02-4c8f-a186-99d42dc7ce83</v>
    <v>en-GB</v>
    <v>Map</v>
  </rv>
  <rv s="0">
    <v>536870912</v>
    <v>Municipality of Cerklje na Gorenjskem</v>
    <v>39c3d04f-fc98-4d3d-82ee-c6aa7c4abcb7</v>
    <v>en-GB</v>
    <v>Map</v>
  </rv>
  <rv s="0">
    <v>536870912</v>
    <v>Municipality of Radovljica</v>
    <v>3aad7827-92d0-479f-835a-c700c76b9797</v>
    <v>en-GB</v>
    <v>Map</v>
  </rv>
  <rv s="0">
    <v>536870912</v>
    <v>Municipality of Ljutomer</v>
    <v>3ae093ab-5e7b-4cf2-9a84-16c6e828c639</v>
    <v>en-GB</v>
    <v>Map</v>
  </rv>
  <rv s="0">
    <v>536870912</v>
    <v>Municipality of Žalec</v>
    <v>3b045e42-9802-1691-998e-c2fb7791b3b3</v>
    <v>en-GB</v>
    <v>Map</v>
  </rv>
  <rv s="0">
    <v>536870912</v>
    <v>Municipality of Ormož</v>
    <v>3c23e56e-c6fc-8c60-e735-693ef913c10d</v>
    <v>en-GB</v>
    <v>Map</v>
  </rv>
  <rv s="0">
    <v>536870912</v>
    <v>Municipality of Kostel</v>
    <v>3d02add7-0ed3-44a9-abe3-cbd5ba7de8a9</v>
    <v>en-GB</v>
    <v>Map</v>
  </rv>
  <rv s="0">
    <v>536870912</v>
    <v>Municipality of Bovec</v>
    <v>3dbad65b-0a46-b2fe-4229-cd346b82cfe8</v>
    <v>en-GB</v>
    <v>Map</v>
  </rv>
  <rv s="0">
    <v>536870912</v>
    <v>Municipality of Preddvor</v>
    <v>3e57798b-fbfc-4b4b-9119-61c579f0d7c7</v>
    <v>en-GB</v>
    <v>Map</v>
  </rv>
  <rv s="0">
    <v>536870912</v>
    <v>Municipality of Dobrovnik</v>
    <v>3f50f1ce-1a62-4cb3-8d03-24472f0281e1</v>
    <v>en-GB</v>
    <v>Map</v>
  </rv>
  <rv s="0">
    <v>536870912</v>
    <v>Municipality of Miren-Kostanjevica</v>
    <v>40ef47ea-0319-49a2-8509-7181df2880a0</v>
    <v>en-GB</v>
    <v>Map</v>
  </rv>
  <rv s="0">
    <v>536870912</v>
    <v>Municipality of Lenart</v>
    <v>41fcd7f1-b493-476c-af12-2985c31a2f41</v>
    <v>en-GB</v>
    <v>Map</v>
  </rv>
  <rv s="0">
    <v>536870912</v>
    <v>Municipality of Kungota</v>
    <v>44545c8a-ea6c-90bd-ed99-43b2f0014bb5</v>
    <v>en-GB</v>
    <v>Map</v>
  </rv>
  <rv s="0">
    <v>536870912</v>
    <v>Municipality of Juršinci</v>
    <v>448c50d3-35c3-ce0f-4a5a-feb126397595</v>
    <v>en-GB</v>
    <v>Map</v>
  </rv>
  <rv s="0">
    <v>536870912</v>
    <v>Municipality of Komenda</v>
    <v>46827302-9d16-4bc4-8395-1553b7a56a4a</v>
    <v>en-GB</v>
    <v>Map</v>
  </rv>
  <rv s="0">
    <v>536870912</v>
    <v>Municipality of Dol pri Ljubljani</v>
    <v>477a8d0d-8575-4212-be19-783c6ad90b05</v>
    <v>en-GB</v>
    <v>Map</v>
  </rv>
  <rv s="0">
    <v>536870912</v>
    <v>Municipality of Vransko</v>
    <v>48ce8253-7748-4869-8ded-40d9261766e1</v>
    <v>en-GB</v>
    <v>Map</v>
  </rv>
  <rv s="0">
    <v>536870912</v>
    <v>Municipality of Brezovica</v>
    <v>4b143cea-bac0-dee4-b861-8e14139e781e</v>
    <v>en-GB</v>
    <v>Map</v>
  </rv>
  <rv s="0">
    <v>536870912</v>
    <v>Municipality of Štore</v>
    <v>4bd32509-1b36-37b9-14b4-61be3bf27acb</v>
    <v>en-GB</v>
    <v>Map</v>
  </rv>
  <rv s="0">
    <v>536870912</v>
    <v>Municipality of Šempeter-Vrtojba</v>
    <v>4c7b336a-886e-4632-90ba-0a143f939cf8</v>
    <v>en-GB</v>
    <v>Map</v>
  </rv>
  <rv s="0">
    <v>536870912</v>
    <v>Municipality of Žetale</v>
    <v>4c9ced63-b258-fae0-d100-7491929a3095</v>
    <v>en-GB</v>
    <v>Map</v>
  </rv>
  <rv s="0">
    <v>536870912</v>
    <v>Urban Municipality of Celje</v>
    <v>5448cb43-700f-4546-8569-ad374b1c670b</v>
    <v>en-GB</v>
    <v>Map</v>
  </rv>
  <rv s="0">
    <v>536870912</v>
    <v>Municipality of Ankaran</v>
    <v>55a45db3-6eea-4758-8a96-27bafe619e43</v>
    <v>en-GB</v>
    <v>Map</v>
  </rv>
  <rv s="0">
    <v>536870912</v>
    <v>Municipality of Starše</v>
    <v>5872fa6e-34b1-8150-fe0a-d8282402e895</v>
    <v>en-GB</v>
    <v>Map</v>
  </rv>
  <rv s="0">
    <v>536870912</v>
    <v>Municipality of Rače-Fram</v>
    <v>58cea260-cf6d-130e-955f-75446f99d042</v>
    <v>en-GB</v>
    <v>Map</v>
  </rv>
  <rv s="0">
    <v>536870912</v>
    <v>Municipality of Škofljica</v>
    <v>5934f9c7-d745-666c-ad07-c6a5d6eeeab3</v>
    <v>en-GB</v>
    <v>Map</v>
  </rv>
  <rv s="0">
    <v>536870912</v>
    <v>Municipality of Cerkno</v>
    <v>5ac46e23-d810-4349-aecc-57db39debbd3</v>
    <v>en-GB</v>
    <v>Map</v>
  </rv>
  <rv s="0">
    <v>536870912</v>
    <v>Municipality of Braslovče</v>
    <v>5c3cb026-5918-49e6-a366-62519b4f7fce</v>
    <v>en-GB</v>
    <v>Map</v>
  </rv>
  <rv s="0">
    <v>536870912</v>
    <v>Municipality of Črenšovci</v>
    <v>5daa3032-e789-47e1-ab7c-d1d07e94ebc3</v>
    <v>en-GB</v>
    <v>Map</v>
  </rv>
  <rv s="0">
    <v>536870912</v>
    <v>Municipality of Medvode</v>
    <v>602d0b18-ae73-bd57-65fe-6e992a8836aa</v>
    <v>en-GB</v>
    <v>Map</v>
  </rv>
  <rv s="0">
    <v>536870912</v>
    <v>Municipality of Dobje</v>
    <v>6248b25f-0560-eca6-7148-61c3c7eb5aa5</v>
    <v>en-GB</v>
    <v>Map</v>
  </rv>
  <rv s="0">
    <v>536870912</v>
    <v>Municipality of Zagorje ob Savi</v>
    <v>64196d3c-6815-4847-b602-7e8905de2e09</v>
    <v>en-GB</v>
    <v>Map</v>
  </rv>
  <rv s="0">
    <v>536870912</v>
    <v>Municipality of Makole</v>
    <v>65fe1a75-0d47-bfea-fc28-9d84d17c2c38</v>
    <v>en-GB</v>
    <v>Map</v>
  </rv>
  <rv s="0">
    <v>536870912</v>
    <v>Municipality of Straža</v>
    <v>6600a980-fec2-fed4-9414-71daca7fc01a</v>
    <v>en-GB</v>
    <v>Map</v>
  </rv>
  <rv s="0">
    <v>536870912</v>
    <v>Municipality of Loški Potok</v>
    <v>6802b984-59c0-62c0-bb00-1b4331045a14</v>
    <v>en-GB</v>
    <v>Map</v>
  </rv>
  <rv s="0">
    <v>536870912</v>
    <v>Municipality of Kuzma</v>
    <v>686415d3-270c-4976-9708-599cdcd35299</v>
    <v>en-GB</v>
    <v>Map</v>
  </rv>
  <rv s="0">
    <v>536870912</v>
    <v>Municipality of Pivka</v>
    <v>69d42788-fc69-40d4-af00-15bd96297795</v>
    <v>en-GB</v>
    <v>Map</v>
  </rv>
  <rv s="0">
    <v>536870912</v>
    <v>Municipality of Logatec</v>
    <v>6b7481ae-cc27-410d-a673-32d0b42f9152</v>
    <v>en-GB</v>
    <v>Map</v>
  </rv>
  <rv s="0">
    <v>536870912</v>
    <v>Municipality of Ivančna Gorica</v>
    <v>6b8392b4-3834-3da3-6c61-5e189d92dedf</v>
    <v>en-GB</v>
    <v>Map</v>
  </rv>
  <rv s="0">
    <v>536870912</v>
    <v>Municipality of Odranci</v>
    <v>6c3edabc-4066-c701-7ab0-e6a544ebef7b</v>
    <v>en-GB</v>
    <v>Map</v>
  </rv>
  <rv s="0">
    <v>536870912</v>
    <v>Municipality of Slovenska Bistrica</v>
    <v>6e206e0b-0292-2051-c106-6d26a962b0c8</v>
    <v>en-GB</v>
    <v>Map</v>
  </rv>
  <rv s="0">
    <v>536870912</v>
    <v>Municipality of Trnovska Vas</v>
    <v>6ec91fbd-72b7-40bf-86fc-bfe535a0ea48</v>
    <v>en-GB</v>
    <v>Map</v>
  </rv>
  <rv s="0">
    <v>536870912</v>
    <v>Municipality of Prevalje</v>
    <v>6ff30e03-eb65-19d0-b4c1-da31c18d4944</v>
    <v>en-GB</v>
    <v>Map</v>
  </rv>
  <rv s="0">
    <v>536870912</v>
    <v>Municipality of Rogaška Slatina</v>
    <v>704d0b89-cc99-6d2e-afbd-85da1e3a309e</v>
    <v>en-GB</v>
    <v>Map</v>
  </rv>
  <rv s="0">
    <v>536870912</v>
    <v>Municipality of Bohinj</v>
    <v>70a7ae97-dd74-45bf-ad1e-f34e0c54d3da</v>
    <v>en-GB</v>
    <v>Map</v>
  </rv>
  <rv s="0">
    <v>536870912</v>
    <v>Municipality of Gornji Petrovci</v>
    <v>7234f13b-e596-4f77-b637-9fbdf41fa328</v>
    <v>en-GB</v>
    <v>Map</v>
  </rv>
  <rv s="0">
    <v>536870912</v>
    <v>Municipality of Polzela</v>
    <v>72cedc41-13d5-24f7-e47f-3fa2d9e8cf98</v>
    <v>en-GB</v>
    <v>Map</v>
  </rv>
  <rv s="0">
    <v>536870912</v>
    <v>Municipality of Mislinja</v>
    <v>7497e2e5-23c8-4aa0-aa32-a98c16de8eb6</v>
    <v>en-GB</v>
    <v>Map</v>
  </rv>
  <rv s="0">
    <v>536870912</v>
    <v>Municipality of Sveti Jurij ob Ščavnici</v>
    <v>7771b9ed-bda2-42e7-8407-5149f85694bd</v>
    <v>en-GB</v>
    <v>Map</v>
  </rv>
  <rv s="0">
    <v>536870912</v>
    <v>Municipality of Gorišnica</v>
    <v>778dee11-22c3-cab7-0ece-21d7c8d8c0b5</v>
    <v>en-GB</v>
    <v>Map</v>
  </rv>
  <rv s="0">
    <v>536870912</v>
    <v>Municipality of Trbovlje</v>
    <v>780a977a-ee5f-3143-6f0e-2caa997df08f</v>
    <v>en-GB</v>
    <v>Map</v>
  </rv>
  <rv s="0">
    <v>536870912</v>
    <v>Municipality of Hoče-Slivnica</v>
    <v>7b5c4ad5-7d8e-bd65-1713-96ba30f890b9</v>
    <v>en-GB</v>
    <v>Map</v>
  </rv>
  <rv s="0">
    <v>536870912</v>
    <v>Municipality of Šmartno ob Paki</v>
    <v>7b73f689-b9be-a0d7-4713-c70123c122bf</v>
    <v>en-GB</v>
    <v>Map</v>
  </rv>
  <rv s="0">
    <v>536870912</v>
    <v>Municipality of Žirovnica</v>
    <v>7cf15cfc-de56-1fda-b1d0-73f139585af6</v>
    <v>en-GB</v>
    <v>Map</v>
  </rv>
  <rv s="0">
    <v>536870912</v>
    <v>Municipality of Videm</v>
    <v>7d09ed20-8b8b-4203-7009-eb3fbae59451</v>
    <v>en-GB</v>
    <v>Map</v>
  </rv>
  <rv s="0">
    <v>536870912</v>
    <v>Urban Municipality of Velenje</v>
    <v>7f2b342b-d845-7bbf-083c-a4e9d588d752</v>
    <v>en-GB</v>
    <v>Map</v>
  </rv>
  <rv s="0">
    <v>536870912</v>
    <v>Municipality of Vojnik</v>
    <v>811ebf57-dd97-492e-ac84-d14a067994ec</v>
    <v>en-GB</v>
    <v>Map</v>
  </rv>
  <rv s="0">
    <v>536870912</v>
    <v>Municipality of Bloke</v>
    <v>81844042-134b-ade4-b6af-19673540e55a</v>
    <v>en-GB</v>
    <v>Map</v>
  </rv>
  <rv s="0">
    <v>536870912</v>
    <v>Municipality of Hrpelje-Kozina</v>
    <v>829ee96f-2640-1af6-c541-7be0ed0c63ef</v>
    <v>en-GB</v>
    <v>Map</v>
  </rv>
  <rv s="0">
    <v>536870912</v>
    <v>Municipality of Gorenja Vas–Poljane</v>
    <v>82a5c332-c591-1246-be55-faf20094676e</v>
    <v>en-GB</v>
    <v>Map</v>
  </rv>
  <rv s="0">
    <v>536870912</v>
    <v>Municipality of Dolenjske Toplice</v>
    <v>830d8042-fb73-42b1-d215-2d72ef4a68ba</v>
    <v>en-GB</v>
    <v>Map</v>
  </rv>
  <rv s="0">
    <v>536870912</v>
    <v>Municipality of Piran</v>
    <v>84d02f89-8b07-470d-8885-13c025acf542</v>
    <v>en-GB</v>
    <v>Map</v>
  </rv>
  <rv s="0">
    <v>536870912</v>
    <v>Municipality of Brežice</v>
    <v>8535b92e-e877-460a-af8f-6671983c8c81</v>
    <v>en-GB</v>
    <v>Map</v>
  </rv>
  <rv s="0">
    <v>536870912</v>
    <v>Municipality of Litija</v>
    <v>8643e662-1188-ecff-acca-47ee63a722f3</v>
    <v>en-GB</v>
    <v>Map</v>
  </rv>
  <rv s="0">
    <v>536870912</v>
    <v>Municipality of Brda</v>
    <v>8706e65c-319b-4d94-4a64-e8a1f09ca2fa</v>
    <v>en-GB</v>
    <v>Map</v>
  </rv>
  <rv s="0">
    <v>536870912</v>
    <v>Municipality of Destrnik</v>
    <v>872cd5ee-f057-44f0-897a-1fa370dc1d57</v>
    <v>en-GB</v>
    <v>Map</v>
  </rv>
  <rv s="0">
    <v>536870912</v>
    <v>Municipality of Radeče</v>
    <v>87f41609-c3f5-ab36-8704-f6f8ee1681bd</v>
    <v>en-GB</v>
    <v>Map</v>
  </rv>
  <rv s="0">
    <v>536870912</v>
    <v>Municipality of Tišina</v>
    <v>88c252bc-be12-f743-d6b9-ca400c8217a9</v>
    <v>en-GB</v>
    <v>Map</v>
  </rv>
  <rv s="0">
    <v>536870912</v>
    <v>Municipality of Apače</v>
    <v>88e8afa4-3f8b-438b-8aeb-12de59333fb4</v>
    <v>en-GB</v>
    <v>Map</v>
  </rv>
  <rv s="0">
    <v>536870912</v>
    <v>Municipality of Križevci</v>
    <v>89b4a194-526f-4384-ac61-561640fe2a3e</v>
    <v>en-GB</v>
    <v>Map</v>
  </rv>
  <rv s="0">
    <v>536870912</v>
    <v>Municipality of Mežica</v>
    <v>8abb4027-b3c0-2264-ccc1-1600e6890da9</v>
    <v>en-GB</v>
    <v>Map</v>
  </rv>
  <rv s="0">
    <v>536870912</v>
    <v>Municipality of Sežana</v>
    <v>8afe5878-39dc-438b-4114-ef612d14f40b</v>
    <v>en-GB</v>
    <v>Map</v>
  </rv>
  <rv s="0">
    <v>536870912</v>
    <v>Municipality of Nazarje</v>
    <v>8bb06049-922f-44f3-8006-9fe6bfb22cf3</v>
    <v>en-GB</v>
    <v>Map</v>
  </rv>
  <rv s="0">
    <v>536870912</v>
    <v>Municipality of Kostanjevica na Krki</v>
    <v>8c4de84d-4452-437c-be42-fab83fa717c1</v>
    <v>en-GB</v>
    <v>Map</v>
  </rv>
  <rv s="0">
    <v>536870912</v>
    <v>Municipality of Dravograd</v>
    <v>8f1c09f2-e5b6-4f38-ba2a-a0f544dd3a02</v>
    <v>en-GB</v>
    <v>Map</v>
  </rv>
  <rv s="0">
    <v>536870912</v>
    <v>Municipality of Prebold</v>
    <v>8fded940-5b8d-4940-a2cc-6f53fb4de6eb</v>
    <v>en-GB</v>
    <v>Map</v>
  </rv>
  <rv s="0">
    <v>536870912</v>
    <v>Municipality of Podčetrtek</v>
    <v>93289213-7af6-7cdc-be41-69bdb92314d4</v>
    <v>en-GB</v>
    <v>Map</v>
  </rv>
  <rv s="0">
    <v>536870912</v>
    <v>Municipality of Grad</v>
    <v>93d9eb01-47d2-631f-ba05-a9db08affa8b</v>
    <v>en-GB</v>
    <v>Map</v>
  </rv>
  <rv s="0">
    <v>536870912</v>
    <v>Municipality of Dobrepolje</v>
    <v>9445b929-d2c6-6874-ec87-29f93f7564dc</v>
    <v>en-GB</v>
    <v>Map</v>
  </rv>
  <rv s="0">
    <v>536870912</v>
    <v>Municipality of Hrastnik</v>
    <v>94e901c0-a700-44c1-8134-b4212b6f6967</v>
    <v>en-GB</v>
    <v>Map</v>
  </rv>
  <rv s="0">
    <v>536870912</v>
    <v>Municipality of Kidričevo</v>
    <v>95d831e0-4a31-4e9b-9b80-c894da1ae7db</v>
    <v>en-GB</v>
    <v>Map</v>
  </rv>
  <rv s="0">
    <v>536870912</v>
    <v>Municipality of Renče–Vogrsko</v>
    <v>9634dd56-dadf-4d1d-9a12-b65f14d57168</v>
    <v>en-GB</v>
    <v>Map</v>
  </rv>
  <rv s="0">
    <v>536870912</v>
    <v>Municipality of Ljubno</v>
    <v>99ad8e98-204f-05b9-e2b9-6af2596f86ce</v>
    <v>en-GB</v>
    <v>Map</v>
  </rv>
  <rv s="0">
    <v>536870912</v>
    <v>Municipality of Beltinci</v>
    <v>9bef4396-7834-4e89-8a71-3735c39c837c</v>
    <v>en-GB</v>
    <v>Map</v>
  </rv>
  <rv s="0">
    <v>536870912</v>
    <v>Municipality of Mokronog-Trebelno</v>
    <v>9c5ccbb1-2766-6ba1-93de-f8865ce00a05</v>
    <v>en-GB</v>
    <v>Map</v>
  </rv>
  <rv s="0">
    <v>536870912</v>
    <v>Municipality of Podvelka</v>
    <v>9cba1cda-a672-408e-891c-1e963180c0af</v>
    <v>en-GB</v>
    <v>Map</v>
  </rv>
  <rv s="0">
    <v>536870912</v>
    <v>Urban Municipality of Nova Gorica</v>
    <v>9dc56bce-7452-4f9a-b89d-c28e80bd40b7</v>
    <v>en-GB</v>
    <v>Map</v>
  </rv>
  <rv s="0">
    <v>536870912</v>
    <v>Municipality of Ribnica</v>
    <v>9df4ab22-5e42-1f7e-a74f-d1da8b718ea8</v>
    <v>en-GB</v>
    <v>Map</v>
  </rv>
  <rv s="0">
    <v>536870912</v>
    <v>Municipality of Komen</v>
    <v>9df8677d-7209-b583-b423-55b3d8997b6b</v>
    <v>en-GB</v>
    <v>Map</v>
  </rv>
  <rv s="0">
    <v>536870912</v>
    <v>Municipality of Zavrč</v>
    <v>9e0eb572-b998-35ff-de33-4d908a1597dc</v>
    <v>en-GB</v>
    <v>Map</v>
  </rv>
  <rv s="0">
    <v>536870912</v>
    <v>Municipality of Sveti Andraž v Slovenskih Goricah</v>
    <v>9ecfbead-a9dd-5095-a8f5-8ab94a0e81cb</v>
    <v>en-GB</v>
    <v>Map</v>
  </rv>
  <rv s="0">
    <v>536870912</v>
    <v>Municipality of Velike Lašče</v>
    <v>9f9bc323-2682-3f3c-66d9-9f811ced26f0</v>
    <v>en-GB</v>
    <v>Map</v>
  </rv>
  <rv s="0">
    <v>536870912</v>
    <v>Municipality of Rogašovci</v>
    <v>9ff103d1-1a91-1e45-9de9-17b8e555c082</v>
    <v>en-GB</v>
    <v>Map</v>
  </rv>
  <rv s="0">
    <v>536870912</v>
    <v>Urban Municipality of Ptuj</v>
    <v>a2f03c8e-8d3b-7e74-3832-6814ceb0db0f</v>
    <v>en-GB</v>
    <v>Map</v>
  </rv>
  <rv s="0">
    <v>536870912</v>
    <v>Municipality of Markovci</v>
    <v>a3563741-d1b5-30dc-e051-6fc977b5cc03</v>
    <v>en-GB</v>
    <v>Map</v>
  </rv>
  <rv s="0">
    <v>536870912</v>
    <v>Municipality of Dobrova–Polhov Gradec</v>
    <v>a41dfdc8-e1bd-4d23-a960-8e5a1d077f02</v>
    <v>en-GB</v>
    <v>Map</v>
  </rv>
  <rv s="0">
    <v>536870912</v>
    <v>Municipality of Hajdina</v>
    <v>a47a1372-d3fd-9c76-69dd-1f74f6d59feb</v>
    <v>en-GB</v>
    <v>Map</v>
  </rv>
  <rv s="0">
    <v>536870912</v>
    <v>Municipality of Benedikt</v>
    <v>a50422db-aa1b-4f81-92ef-b1aec2beb41a</v>
    <v>en-GB</v>
    <v>Map</v>
  </rv>
  <rv s="0">
    <v>536870912</v>
    <v>Municipality of Žiri</v>
    <v>a5fe8a66-0871-b51c-52f6-fc56b709e4d3</v>
    <v>en-GB</v>
    <v>Map</v>
  </rv>
  <rv s="0">
    <v>536870912</v>
    <v>Municipality of Lendava</v>
    <v>a6643642-4807-3cdd-fae7-1f0ce2a01d11</v>
    <v>en-GB</v>
    <v>Map</v>
  </rv>
  <rv s="0">
    <v>536870912</v>
    <v>Municipality of Vipava</v>
    <v>ac27e1a3-504f-441e-9cb3-c2ccec32b760</v>
    <v>en-GB</v>
    <v>Map</v>
  </rv>
  <rv s="0">
    <v>536870912</v>
    <v>Municipality of Jezersko</v>
    <v>adf4417c-70c5-b6e4-b2b4-c3150ddee49e</v>
    <v>en-GB</v>
    <v>Map</v>
  </rv>
  <rv s="0">
    <v>536870912</v>
    <v>Municipality of Kanal ob Soči</v>
    <v>afc08f8e-9a87-cc1c-483b-06c062199051</v>
    <v>en-GB</v>
    <v>Map</v>
  </rv>
  <rv s="0">
    <v>536870912</v>
    <v>Municipality of Moravske Toplice</v>
    <v>afcb8131-48c0-4412-c5f1-f7bcad8ac609</v>
    <v>en-GB</v>
    <v>Map</v>
  </rv>
  <rv s="0">
    <v>536870912</v>
    <v>Municipality of Sveti Jurij v Slovenskih Goricah</v>
    <v>b0016596-5082-37e9-6354-8b17ed79978c</v>
    <v>en-GB</v>
    <v>Map</v>
  </rv>
  <rv s="0">
    <v>536870912</v>
    <v>Municipality of Kamnik</v>
    <v>b13f8872-ce89-4bdf-a90e-dc1b00959de1</v>
    <v>en-GB</v>
    <v>Map</v>
  </rv>
  <rv s="0">
    <v>536870912</v>
    <v>Municipality of Sveti Tomaž</v>
    <v>b2260fe5-ca56-4f13-91d5-93cb17c7836f</v>
    <v>en-GB</v>
    <v>Map</v>
  </rv>
  <rv s="0">
    <v>536870912</v>
    <v>Municipality of Cirkulane</v>
    <v>b2b430b8-654b-4ca4-a8e0-5c37c2868eab</v>
    <v>en-GB</v>
    <v>Map</v>
  </rv>
  <rv s="0">
    <v>536870912</v>
    <v>Municipality of Mirna</v>
    <v>b4142cde-8689-44a4-8125-9a5aa9f4f032</v>
    <v>en-GB</v>
    <v>Map</v>
  </rv>
  <rv s="0">
    <v>536870912</v>
    <v>Municipality of Tržič</v>
    <v>b478781d-dd10-af6a-0efd-f8010ff3aefd</v>
    <v>en-GB</v>
    <v>Map</v>
  </rv>
  <rv s="0">
    <v>536870912</v>
    <v>Municipality of Kozje</v>
    <v>b4790688-1aea-8650-1d15-28b2fa0c459c</v>
    <v>en-GB</v>
    <v>Map</v>
  </rv>
  <rv s="0">
    <v>536870912</v>
    <v>Municipality of Mengeš</v>
    <v>b4ae743d-2364-4b6f-8f50-251ec0cde413</v>
    <v>en-GB</v>
    <v>Map</v>
  </rv>
  <rv s="0">
    <v>536870912</v>
    <v>Municipality of Mirna Peč</v>
    <v>b8f2d548-4947-ab86-9cbb-65b24b559582</v>
    <v>en-GB</v>
    <v>Map</v>
  </rv>
  <rv s="0">
    <v>536870912</v>
    <v>Municipality of Železniki</v>
    <v>b9f73d63-e80b-8fad-00e8-10df8b61f80c</v>
    <v>en-GB</v>
    <v>Map</v>
  </rv>
  <rv s="0">
    <v>536870912</v>
    <v>Municipality of Sveta Trojica v Slovenskih Goricah</v>
    <v>bafc1328-988b-ccd4-0649-480da11121d6</v>
    <v>en-GB</v>
    <v>Map</v>
  </rv>
  <rv s="0">
    <v>536870912</v>
    <v>Municipality of Kobilje</v>
    <v>bbe5c8c4-b0d3-338c-0ce3-b2b1ae3a6890</v>
    <v>en-GB</v>
    <v>Map</v>
  </rv>
  <rv s="0">
    <v>536870912</v>
    <v>Municipality of Rogatec</v>
    <v>bc705953-b090-4299-84cb-1cc3e80d18c2</v>
    <v>en-GB</v>
    <v>Map</v>
  </rv>
  <rv s="0">
    <v>536870912</v>
    <v>Municipality of Šentilj</v>
    <v>be951893-e5d9-40b5-882a-96da6ddcdd18</v>
    <v>en-GB</v>
    <v>Map</v>
  </rv>
  <rv s="0">
    <v>536870912</v>
    <v>Municipality of Gorje</v>
    <v>c1e95d1f-74e2-b67b-dd6c-0627fe6fb1a5</v>
    <v>en-GB</v>
    <v>Map</v>
  </rv>
  <rv s="0">
    <v>536870912</v>
    <v>Municipality of Šmarje pri Jelšah</v>
    <v>c2d30d82-12a1-98b5-90e3-900095dfa234</v>
    <v>en-GB</v>
    <v>Map</v>
  </rv>
  <rv s="0">
    <v>536870912</v>
    <v>Municipality of Vitanje</v>
    <v>c384a2ea-13a1-4f5a-a21a-251e16a1012f</v>
    <v>en-GB</v>
    <v>Map</v>
  </rv>
  <rv s="0">
    <v>536870912</v>
    <v>Municipality of Jesenice</v>
    <v>c4918381-5682-414f-bd5d-e1a6f7c3ebb6</v>
    <v>en-GB</v>
    <v>Map</v>
  </rv>
  <rv s="0">
    <v>536870912</v>
    <v>Municipality of Cankova</v>
    <v>c4cd8384-ca99-4519-88f7-0c8ea9d00655</v>
    <v>en-GB</v>
    <v>Map</v>
  </rv>
  <rv s="0">
    <v>536870912</v>
    <v>Municipality of Rečica ob Savinji</v>
    <v>c5cf48c1-7523-b5db-059e-16a127f5022a</v>
    <v>en-GB</v>
    <v>Map</v>
  </rv>
  <rv s="0">
    <v>536870912</v>
    <v>Municipality of Šmarješke Toplice</v>
    <v>c7e55001-78c9-41db-85b5-e8e9bd21ad85</v>
    <v>en-GB</v>
    <v>Map</v>
  </rv>
  <rv s="0">
    <v>536870912</v>
    <v>Municipality of Šenčur</v>
    <v>ca24f4d6-78d3-cbdf-5cf1-524b2b4e960f</v>
    <v>en-GB</v>
    <v>Map</v>
  </rv>
  <rv s="0">
    <v>536870912</v>
    <v>Urban Municipality of Maribor</v>
    <v>ca28b5b0-22e4-5dbc-9514-16075a58398a</v>
    <v>en-GB</v>
    <v>Map</v>
  </rv>
  <rv s="0">
    <v>536870912</v>
    <v>Municipality of Izola</v>
    <v>cb94fb27-2784-7bc8-f193-3aebb769e94e</v>
    <v>en-GB</v>
    <v>Map</v>
  </rv>
  <rv s="0">
    <v>536870912</v>
    <v>Municipality of Divača</v>
    <v>cc9661a9-2ecf-4c19-9afd-afafee80f680</v>
    <v>en-GB</v>
    <v>Map</v>
  </rv>
  <rv s="0">
    <v>536870912</v>
    <v>Municipality of Selnica ob Dravi</v>
    <v>cd5e68aa-11e6-401c-87da-5b55980193b2</v>
    <v>en-GB</v>
    <v>Map</v>
  </rv>
  <rv s="0">
    <v>536870912</v>
    <v>Municipality of Duplek</v>
    <v>ce314c0f-8d0c-2ef8-d81d-f76a543937ff</v>
    <v>en-GB</v>
    <v>Map</v>
  </rv>
  <rv s="0">
    <v>536870912</v>
    <v>Municipality of Veržej</v>
    <v>d07fa182-24a5-4b92-a267-208e6b60fe5f</v>
    <v>en-GB</v>
    <v>Map</v>
  </rv>
  <rv s="0">
    <v>536870912</v>
    <v>Municipality of Cerkvenjak</v>
    <v>d1462276-cee6-4043-ac65-23383ea5aa0d</v>
    <v>en-GB</v>
    <v>Map</v>
  </rv>
  <rv s="0">
    <v>536870912</v>
    <v>Municipality of Šentjur</v>
    <v>d1d1359a-ca60-4335-b889-9169c2f46fed</v>
    <v>en-GB</v>
    <v>Map</v>
  </rv>
  <rv s="0">
    <v>536870912</v>
    <v>Municipality of Bled</v>
    <v>d22f33ac-dfad-42d4-96a3-6c14611c338e</v>
    <v>en-GB</v>
    <v>Map</v>
  </rv>
  <rv s="0">
    <v>536870912</v>
    <v>Municipality of Radenci</v>
    <v>d24d6079-5c53-6f39-1610-f4262eed09bd</v>
    <v>en-GB</v>
    <v>Map</v>
  </rv>
  <rv s="0">
    <v>536870912</v>
    <v>Municipality of Gornji Grad</v>
    <v>d38afdb1-5bd4-4ab1-8d8f-fef8042cb7b1</v>
    <v>en-GB</v>
    <v>Map</v>
  </rv>
  <rv s="0">
    <v>536870912</v>
    <v>Urban Municipality of Koper</v>
    <v>d3de7f6d-7925-e2c1-7187-80b51ad55eb9</v>
    <v>en-GB</v>
    <v>Map</v>
  </rv>
  <rv s="0">
    <v>536870912</v>
    <v>Municipality of Šmartno pri Litiji</v>
    <v>d520f250-5faa-4c03-af72-5ad0c897927c</v>
    <v>en-GB</v>
    <v>Map</v>
  </rv>
  <rv s="0">
    <v>536870912</v>
    <v>Urban Municipality of Ljubljana</v>
    <v>d57cf1f5-b412-5ffd-97a8-3eb4b7d7e3a3</v>
    <v>en-GB</v>
    <v>Map</v>
  </rv>
  <rv s="0">
    <v>536870912</v>
    <v>Municipality of Log-Dragomer</v>
    <v>d5de88e3-5ac6-53ea-0f27-707b45e685d1</v>
    <v>en-GB</v>
    <v>Map</v>
  </rv>
  <rv s="0">
    <v>536870912</v>
    <v>Urban Municipality of Kranj</v>
    <v>d7eafa53-5595-f433-f879-e6844c650c86</v>
    <v>en-GB</v>
    <v>Map</v>
  </rv>
  <rv s="0">
    <v>536870912</v>
    <v>Municipality of Črnomelj</v>
    <v>d83d0fc4-0f6c-9710-bd28-09a4cc652915</v>
    <v>en-GB</v>
    <v>Map</v>
  </rv>
  <rv s="0">
    <v>536870912</v>
    <v>Municipality of Kranjska Gora</v>
    <v>d92d5871-12c7-4959-9a58-8018c2c67df3</v>
    <v>en-GB</v>
    <v>Map</v>
  </rv>
  <rv s="0">
    <v>536870912</v>
    <v>Municipality of Cerknica</v>
    <v>d97ba309-9209-4840-81d8-84f06b2639ad</v>
    <v>en-GB</v>
    <v>Map</v>
  </rv>
  <rv s="0">
    <v>536870912</v>
    <v>Municipality of Semič</v>
    <v>db1f2f4a-80bb-ac15-e657-2433a69f8bf2</v>
    <v>en-GB</v>
    <v>Map</v>
  </rv>
  <rv s="0">
    <v>536870912</v>
    <v>Municipality of Velika Polana</v>
    <v>dbdeca6d-aeab-8165-c131-da6a1058dbf5</v>
    <v>en-GB</v>
    <v>Map</v>
  </rv>
  <rv s="0">
    <v>536870912</v>
    <v>Municipality of Mozirje</v>
    <v>dc1ffc6f-7abb-3c15-f50f-1683c023ed56</v>
    <v>en-GB</v>
    <v>Map</v>
  </rv>
  <rv s="0">
    <v>536870912</v>
    <v>Municipality of Postojna</v>
    <v>dd32dd11-8a80-4071-862f-8f4d834587ba</v>
    <v>en-GB</v>
    <v>Map</v>
  </rv>
  <rv s="0">
    <v>536870912</v>
    <v>Municipality of Lukovica</v>
    <v>df2c2492-744a-2180-0a62-4d20ab7fc703</v>
    <v>en-GB</v>
    <v>Map</v>
  </rv>
  <rv s="0">
    <v>536870912</v>
    <v>Municipality of Zreče</v>
    <v>e0166bb6-8e3e-5af5-8647-18bc24444323</v>
    <v>en-GB</v>
    <v>Map</v>
  </rv>
  <rv s="0">
    <v>536870912</v>
    <v>Municipality of Loška Dolina</v>
    <v>e485c452-386a-4b8e-949c-412a9d18d3c0</v>
    <v>en-GB</v>
    <v>Map</v>
  </rv>
  <rv s="0">
    <v>536870912</v>
    <v>Municipality of Ajdovščina</v>
    <v>e8ff9634-75bc-4bdf-b721-48a5c99cb8e7</v>
    <v>en-GB</v>
    <v>Map</v>
  </rv>
  <rv s="0">
    <v>536870912</v>
    <v>Municipality of Žužemberk</v>
    <v>e9563079-bf1b-4a87-8076-ecf043a3f0ab</v>
    <v>en-GB</v>
    <v>Map</v>
  </rv>
  <rv s="0">
    <v>536870912</v>
    <v>Municipality of Tolmin</v>
    <v>e9a862a6-66ab-9f5b-39f0-ce8f1ede29ea</v>
    <v>en-GB</v>
    <v>Map</v>
  </rv>
  <rv s="0">
    <v>536870912</v>
    <v>Municipality of Miklavž na Dravskem Polju</v>
    <v>ea68566a-545a-44f9-9a6c-5544e94480cc</v>
    <v>en-GB</v>
    <v>Map</v>
  </rv>
  <rv s="0">
    <v>536870912</v>
    <v>Municipality of Puconci</v>
    <v>ebcdd6af-8383-4417-9aaa-adc5a10127cc</v>
    <v>en-GB</v>
    <v>Map</v>
  </rv>
  <rv s="0">
    <v>536870912</v>
    <v>Urban Municipality of Novo Mesto</v>
    <v>ecb68727-78e6-82f8-03d8-2bd74d3216bd</v>
    <v>en-GB</v>
    <v>Map</v>
  </rv>
  <rv s="0">
    <v>536870912</v>
    <v>Municipality of Poljčane</v>
    <v>ecba8283-b4c3-0647-2466-61cbe6b510c4</v>
    <v>en-GB</v>
    <v>Map</v>
  </rv>
  <rv s="0">
    <v>536870912</v>
    <v>Municipality of Kočevje</v>
    <v>effbe7ab-3154-656e-6441-d3874be98947</v>
    <v>en-GB</v>
    <v>Map</v>
  </rv>
  <rv s="0">
    <v>536870912</v>
    <v>Municipality of Šalovci</v>
    <v>f109eacc-2ccc-a3fd-1e02-9f533db6de46</v>
    <v>en-GB</v>
    <v>Map</v>
  </rv>
  <rv s="0">
    <v>536870912</v>
    <v>Municipality of Podlehnik</v>
    <v>f3d62dfd-2c2c-4ebe-a493-f57e6a7c8e9c</v>
    <v>en-GB</v>
    <v>Map</v>
  </rv>
  <rv s="0">
    <v>536870912</v>
    <v>Municipality of Oplotnica</v>
    <v>f416d529-f93d-b928-e4dd-4a1ac5f72121</v>
    <v>en-GB</v>
    <v>Map</v>
  </rv>
  <rv s="0">
    <v>536870912</v>
    <v>Municipality of Ig</v>
    <v>f670f221-cd60-a73f-d01a-d77448677c41</v>
    <v>en-GB</v>
    <v>Map</v>
  </rv>
  <rv s="0">
    <v>536870912</v>
    <v>Municipality of Muta</v>
    <v>f8077c81-8f3d-54b8-6076-fb947d0c5778</v>
    <v>en-GB</v>
    <v>Map</v>
  </rv>
  <rv s="0">
    <v>536870912</v>
    <v>Municipality of Črna na Koroškem</v>
    <v>f8d84a8a-c211-4174-b69e-6c98ea4d45e3</v>
    <v>en-GB</v>
    <v>Map</v>
  </rv>
  <rv s="0">
    <v>536870912</v>
    <v>Municipality of Ruše</v>
    <v>fa881299-d55e-4b33-a067-7da80ca0ba11</v>
    <v>en-GB</v>
    <v>Map</v>
  </rv>
  <rv s="0">
    <v>536870912</v>
    <v>Municipality of Moravče</v>
    <v>faae0e79-aab3-ab56-983b-b32d57e09d52</v>
    <v>en-GB</v>
    <v>Map</v>
  </rv>
  <rv s="0">
    <v>536870912</v>
    <v>Municipality of Radlje ob Dravi</v>
    <v>faef4ce0-028b-1997-16c0-11374da11083</v>
    <v>en-GB</v>
    <v>Map</v>
  </rv>
  <rv s="0">
    <v>536870912</v>
    <v>Municipality of Sodražica</v>
    <v>faf2102c-a652-501a-6560-c70c946f87b3</v>
    <v>en-GB</v>
    <v>Map</v>
  </rv>
  <rv s="0">
    <v>536870912</v>
    <v>Municipality of Ravne na Koroškem</v>
    <v>fb8bd795-d64e-f75b-5694-ae72df545b33</v>
    <v>en-GB</v>
    <v>Map</v>
  </rv>
  <rv s="0">
    <v>536870912</v>
    <v>Municipality of Šentjernej</v>
    <v>fca97799-504c-f4e2-9304-7fa85464a506</v>
    <v>en-GB</v>
    <v>Map</v>
  </rv>
  <rv s="0">
    <v>536870912</v>
    <v>Municipality of Turnišče</v>
    <v>fd350329-24bd-4322-9855-1ae9bbd787d1</v>
    <v>en-GB</v>
    <v>Map</v>
  </rv>
  <rv s="0">
    <v>536870912</v>
    <v>Municipality of Osilnica</v>
    <v>ff1963f2-c9be-08fb-02f6-1b8d2b2c3036</v>
    <v>en-GB</v>
    <v>Map</v>
  </rv>
  <rv s="3">
    <v>24</v>
  </rv>
  <rv s="1">
    <fb>0.18626997966917902</fb>
    <v>24</v>
  </rv>
  <rv s="1">
    <fb>0.31</fb>
    <v>24</v>
  </rv>
  <rv s="1">
    <fb>4.1950001716613797E-2</fb>
    <v>33</v>
  </rv>
  <rv s="1">
    <fb>1144654</fb>
    <v>25</v>
  </rv>
  <rv s="6">
    <v>#VALUE!</v>
    <v>en-GB</v>
    <v>4982784a-4967-52d1-c08e-ffd0f091566e</v>
    <v>536870912</v>
    <v>1</v>
    <v>68</v>
    <v>38</v>
    <v>Slovenia</v>
    <v>20</v>
    <v>21</v>
    <v>Map</v>
    <v>22</v>
    <v>69</v>
    <v>SI</v>
    <v>423</v>
    <v>424</v>
    <v>425</v>
    <v>426</v>
    <v>427</v>
    <v>428</v>
    <v>429</v>
    <v>430</v>
    <v>431</v>
    <v>EUR</v>
    <v>Slovenia, officially the Republic of Slovenia, is a country in southern Central Europe. Spread over 20,271 km², it is bordered by Italy to the west, Austria to the north, Hungary to the northeast, Croatia to the southeast, and the Adriatic Sea to the southwest. Slovenia is mostly mountainous and forested, covers 20,271 square kilometres, and has a population of 2.1 million. Slovenes constitute over 80% of the country's population. Slovene, a South Slavic language, is the official language. Slovenia has a predominantly temperate continental climate, with the exception of the Slovene Littoral and the Julian Alps. A sub-mediterranean climate reaches to the northern extensions of the Dinaric Alps that traverse the country in a northwest–southeast direction. The Julian Alps in the northwest have an alpine climate. Toward the northeastern Pannonian Basin, a continental climate is more pronounced. Ljubljana, the capital and largest city of Slovenia, is geographically situated near the centre of the country.</v>
    <v>432</v>
    <v>433</v>
    <v>434</v>
    <v>435</v>
    <v>436</v>
    <v>437</v>
    <v>438</v>
    <v>439</v>
    <v>440</v>
    <v>441</v>
    <v>428</v>
    <v>444</v>
    <v>445</v>
    <v>446</v>
    <v>447</v>
    <v>158</v>
    <v>448</v>
    <v>Slovenia</v>
    <v>National anthem of Slovenia</v>
    <v>449</v>
    <v>Republika Slovenija</v>
    <v>450</v>
    <v>451</v>
    <v>452</v>
    <v>164</v>
    <v>453</v>
    <v>454</v>
    <v>455</v>
    <v>456</v>
    <v>457</v>
    <v>458</v>
    <v>459</v>
    <v>670</v>
    <v>671</v>
    <v>67</v>
    <v>672</v>
    <v>673</v>
    <v>Slovenia</v>
    <v>674</v>
    <v>mdp/vdpid/212</v>
  </rv>
  <rv s="0">
    <v>536870912</v>
    <v>Australia</v>
    <v>06de2191-243d-a83f-6990-2eb1c7f3382a</v>
    <v>en-GB</v>
    <v>Map</v>
  </rv>
  <rv s="1">
    <fb>0.48241944248714902</fb>
    <v>24</v>
  </rv>
  <rv s="1">
    <fb>7692024</fb>
    <v>25</v>
  </rv>
  <rv s="1">
    <fb>58000</fb>
    <v>25</v>
  </rv>
  <rv s="1">
    <fb>12.6</fb>
    <v>26</v>
  </rv>
  <rv s="1">
    <fb>61</fb>
    <v>27</v>
  </rv>
  <rv s="0">
    <v>536870912</v>
    <v>Canberra</v>
    <v>59ab58e3-2f00-9175-e7b8-76d910040855</v>
    <v>en-GB</v>
    <v>Map</v>
  </rv>
  <rv s="1">
    <fb>375907.837</fb>
    <v>25</v>
  </rv>
  <rv s="1">
    <fb>119.797086368366</fb>
    <v>28</v>
  </rv>
  <rv s="1">
    <fb>1.61076787290379E-2</fb>
    <v>24</v>
  </rv>
  <rv s="1">
    <fb>10071.3989785006</fb>
    <v>25</v>
  </rv>
  <rv s="1">
    <fb>1.74</fb>
    <v>26</v>
  </rv>
  <rv s="1">
    <fb>0.16258278059599401</fb>
    <v>24</v>
  </rv>
  <rv s="1">
    <fb>89.625630110237395</fb>
    <v>29</v>
  </rv>
  <rv s="1">
    <fb>0.93</fb>
    <v>30</v>
  </rv>
  <rv s="1">
    <fb>1392680589329.1399</fb>
    <v>31</v>
  </rv>
  <rv s="1">
    <fb>1.0033898000000001</fb>
    <v>24</v>
  </rv>
  <rv s="1">
    <fb>1.1314216000000001</fb>
    <v>24</v>
  </rv>
  <rv s="2">
    <v>7</v>
    <v>22</v>
    <v>76</v>
    <v>7</v>
    <v>0</v>
    <v>Image of Australia</v>
  </rv>
  <rv s="1">
    <fb>3.1</fb>
    <v>29</v>
  </rv>
  <rv s="0">
    <v>536870912</v>
    <v>Sydney</v>
    <v>3ecec2e8-2993-42e7-7299-f693bbe3b9b9</v>
    <v>en-GB</v>
    <v>Map</v>
  </rv>
  <rv s="0">
    <v>805306368</v>
    <v>Anthony Albanese (Prime minister)</v>
    <v>00f8b947-2f64-9828-df4d-5993583bdbe4</v>
    <v>en-GB</v>
    <v>Generic</v>
  </rv>
  <rv s="3">
    <v>25</v>
  </rv>
  <rv s="4">
    <v>https://www.bing.com/search?q=australia&amp;form=skydnc</v>
    <v>Learn more on Bing</v>
  </rv>
  <rv s="1">
    <fb>82.748780487804893</fb>
    <v>29</v>
  </rv>
  <rv s="1">
    <fb>1487598500000</fb>
    <v>31</v>
  </rv>
  <rv s="1">
    <fb>6</fb>
    <v>29</v>
  </rv>
  <rv s="1">
    <fb>13.59</fb>
    <v>30</v>
  </rv>
  <rv s="1">
    <fb>0.19558295019999999</fb>
    <v>24</v>
  </rv>
  <rv s="1">
    <fb>3.6778</fb>
    <v>26</v>
  </rv>
  <rv s="1">
    <fb>25688079</fb>
    <v>25</v>
  </rv>
  <rv s="1">
    <fb>0.221</fb>
    <v>24</v>
  </rv>
  <rv s="1">
    <fb>0.27</fb>
    <v>24</v>
  </rv>
  <rv s="1">
    <fb>7.400000000000001E-2</fb>
    <v>24</v>
  </rv>
  <rv s="1">
    <fb>0.122</fb>
    <v>24</v>
  </rv>
  <rv s="1">
    <fb>0.161</fb>
    <v>24</v>
  </rv>
  <rv s="1">
    <fb>0.65517997741699208</fb>
    <v>24</v>
  </rv>
  <rv s="0">
    <v>536870912</v>
    <v>Cocos (Keeling) Islands</v>
    <v>02bce610-1981-8169-049c-5f416771ad7e</v>
    <v>en-GB</v>
    <v>Map</v>
  </rv>
  <rv s="0">
    <v>536870912</v>
    <v>Ashmore and Cartier Islands</v>
    <v>0cf3b96d-0c52-2057-50e3-f4d0baacc740</v>
    <v>en-GB</v>
    <v>Map</v>
  </rv>
  <rv s="0">
    <v>536870912</v>
    <v>Coral Sea Islands</v>
    <v>12fcab3d-6815-b0bc-3cf7-b1396ef5cd47</v>
    <v>en-GB</v>
    <v>Map</v>
  </rv>
  <rv s="0">
    <v>536870912</v>
    <v>South Australia</v>
    <v>202994ba-49c2-98c5-91fa-e0b05ffcf2da</v>
    <v>en-GB</v>
    <v>Map</v>
  </rv>
  <rv s="0">
    <v>536870912</v>
    <v>Northern Territory</v>
    <v>20947ace-4dd4-0516-21df-2af8da517b06</v>
    <v>en-GB</v>
    <v>Map</v>
  </rv>
  <rv s="0">
    <v>536870912</v>
    <v>Christmas Island</v>
    <v>66788ba9-2bf3-1a5c-abea-c2feb1989f85</v>
    <v>en-GB</v>
    <v>Map</v>
  </rv>
  <rv s="0">
    <v>536870912</v>
    <v>Tasmania</v>
    <v>8327961c-5e1c-9007-38cc-b90bc76e7bc3</v>
    <v>en-GB</v>
    <v>Map</v>
  </rv>
  <rv s="0">
    <v>536870912</v>
    <v>New South Wales</v>
    <v>9143b1e4-782f-52c3-0f4a-cea5eaf6f36a</v>
    <v>en-GB</v>
    <v>Map</v>
  </rv>
  <rv s="0">
    <v>536870912</v>
    <v>Victoria</v>
    <v>afad25fd-4cbc-2e30-7764-19bd8a1cb1bc</v>
    <v>en-GB</v>
    <v>Map</v>
  </rv>
  <rv s="0">
    <v>536870912</v>
    <v>Australian Antarctic Territory</v>
    <v>bc86a2b2-017e-365c-ec69-320d203f0e11</v>
    <v>en-GB</v>
    <v>Map</v>
  </rv>
  <rv s="0">
    <v>536870912</v>
    <v>Western Australia</v>
    <v>bf87c7cd-72cb-99af-809b-eb7577149dcd</v>
    <v>en-GB</v>
    <v>Map</v>
  </rv>
  <rv s="0">
    <v>536870912</v>
    <v>Australian Capital Territory</v>
    <v>c296eb2e-2c1a-16bf-bc37-164541ce7365</v>
    <v>en-GB</v>
    <v>Map</v>
  </rv>
  <rv s="0">
    <v>536870912</v>
    <v>Queensland</v>
    <v>d8d1c6ea-bc68-82f2-5bb3-ae7aa11442b4</v>
    <v>en-GB</v>
    <v>Map</v>
  </rv>
  <rv s="0">
    <v>536870912</v>
    <v>Jervis Bay Territory</v>
    <v>e59341af-b7a6-b4f4-6a5d-590c58c94b7c</v>
    <v>en-GB</v>
    <v>Map</v>
  </rv>
  <rv s="0">
    <v>536870912</v>
    <v>Norfolk Island</v>
    <v>edf78bdd-d272-9969-118f-522fd065d490</v>
    <v>en-GB</v>
    <v>Map</v>
  </rv>
  <rv s="0">
    <v>536870912</v>
    <v>Heard Island and McDonald Islands</v>
    <v>fb1ed011-1cc6-3fa2-760a-a9290a0bfc5d</v>
    <v>en-GB</v>
    <v>Map</v>
  </rv>
  <rv s="3">
    <v>26</v>
  </rv>
  <rv s="1">
    <fb>0.22985815296127299</fb>
    <v>24</v>
  </rv>
  <rv s="3">
    <v>27</v>
  </rv>
  <rv s="1">
    <fb>0.47399999999999998</fb>
    <v>24</v>
  </rv>
  <rv s="1">
    <fb>5.2680001258850098E-2</fb>
    <v>33</v>
  </rv>
  <rv s="1">
    <fb>21844756</fb>
    <v>25</v>
  </rv>
  <rv s="6">
    <v>#VALUE!</v>
    <v>en-GB</v>
    <v>06de2191-243d-a83f-6990-2eb1c7f3382a</v>
    <v>536870912</v>
    <v>1</v>
    <v>74</v>
    <v>38</v>
    <v>Australia</v>
    <v>20</v>
    <v>21</v>
    <v>Map</v>
    <v>22</v>
    <v>75</v>
    <v>AU</v>
    <v>677</v>
    <v>678</v>
    <v>679</v>
    <v>680</v>
    <v>681</v>
    <v>682</v>
    <v>683</v>
    <v>684</v>
    <v>685</v>
    <v>AUD</v>
    <v>Australia, officially the Commonwealth of Australia, is a sovereign country comprising the mainland of the Australian continent, the island of Tasmania, and numerous smaller islands. Australia is the largest country by area in Oceania and the world's sixth-largest country. Australia is the oldest, flattest, and driest inhabited continent, with the least fertile soils. It is a megadiverse country, and its size gives it a wide variety of landscapes and climates, with deserts in the centre, tropical rainforests in the north-east, tropical savannas in the north, and mountain ranges in the south-east.</v>
    <v>686</v>
    <v>687</v>
    <v>688</v>
    <v>689</v>
    <v>690</v>
    <v>691</v>
    <v>692</v>
    <v>693</v>
    <v>694</v>
    <v>695</v>
    <v>696</v>
    <v>698</v>
    <v>699</v>
    <v>700</v>
    <v>701</v>
    <v>702</v>
    <v>703</v>
    <v>Australia</v>
    <v>Advance Australia Fair</v>
    <v>160</v>
    <v>Australské společenství</v>
    <v>704</v>
    <v>705</v>
    <v>706</v>
    <v>707</v>
    <v>708</v>
    <v>166</v>
    <v>167</v>
    <v>709</v>
    <v>710</v>
    <v>711</v>
    <v>712</v>
    <v>729</v>
    <v>730</v>
    <v>731</v>
    <v>732</v>
    <v>733</v>
    <v>Australia</v>
    <v>734</v>
    <v>mdp/vdpid/12</v>
  </rv>
  <rv s="0">
    <v>536870912</v>
    <v>Belgium</v>
    <v>ac5bcc34-e1cd-2e76-9d31-fb1be1159a5e</v>
    <v>en-GB</v>
    <v>Map</v>
  </rv>
  <rv s="1">
    <fb>0.44610305443465298</fb>
    <v>24</v>
  </rv>
  <rv s="1">
    <fb>30688</fb>
    <v>25</v>
  </rv>
  <rv s="1">
    <fb>32000</fb>
    <v>25</v>
  </rv>
  <rv s="1">
    <fb>10.3</fb>
    <v>26</v>
  </rv>
  <rv s="1">
    <fb>32</fb>
    <v>27</v>
  </rv>
  <rv s="0">
    <v>536870912</v>
    <v>City of Brussels</v>
    <v>95e13b04-adba-5f35-d2c5-f828990ca1fd</v>
    <v>en-GB</v>
    <v>Map</v>
  </rv>
  <rv s="1">
    <fb>96889.474000000002</fb>
    <v>25</v>
  </rv>
  <rv s="1">
    <fb>117.11045718797099</fb>
    <v>28</v>
  </rv>
  <rv s="1">
    <fb>1.43681956996435E-2</fb>
    <v>24</v>
  </rv>
  <rv s="1">
    <fb>7709.1230778824702</fb>
    <v>25</v>
  </rv>
  <rv s="1">
    <fb>1.62</fb>
    <v>26</v>
  </rv>
  <rv s="1">
    <fb>0.22583884638555801</fb>
    <v>24</v>
  </rv>
  <rv s="1">
    <fb>75.870784353682396</fb>
    <v>29</v>
  </rv>
  <rv s="1">
    <fb>1.43</fb>
    <v>30</v>
  </rv>
  <rv s="1">
    <fb>529606710418.03802</fb>
    <v>31</v>
  </rv>
  <rv s="1">
    <fb>1.0390557</fb>
    <v>24</v>
  </rv>
  <rv s="1">
    <fb>0.79661730000000008</fb>
    <v>24</v>
  </rv>
  <rv s="2">
    <v>8</v>
    <v>22</v>
    <v>82</v>
    <v>7</v>
    <v>0</v>
    <v>Image of Belgium</v>
  </rv>
  <rv s="1">
    <fb>2.9</fb>
    <v>29</v>
  </rv>
  <rv s="0">
    <v>805306368</v>
    <v>Alexander De Croo (Prime minister)</v>
    <v>c1428e90-a850-b761-4372-6e7c0b893486</v>
    <v>en-GB</v>
    <v>Generic</v>
  </rv>
  <rv s="0">
    <v>805306368</v>
    <v>Philippe of Belgium (Monarch)</v>
    <v>a665fab7-fb7f-7057-7ae8-bfd895ec6e4d</v>
    <v>en-GB</v>
    <v>Generic</v>
  </rv>
  <rv s="3">
    <v>28</v>
  </rv>
  <rv s="4">
    <v>https://www.bing.com/search?q=belgium&amp;form=skydnc</v>
    <v>Learn more on Bing</v>
  </rv>
  <rv s="1">
    <fb>81.595121951219497</fb>
    <v>29</v>
  </rv>
  <rv s="1">
    <fb>321093542983.70203</fb>
    <v>31</v>
  </rv>
  <rv s="1">
    <fb>10.31</fb>
    <v>30</v>
  </rv>
  <rv s="3">
    <v>29</v>
  </rv>
  <rv s="1">
    <fb>0.17567192210000002</fb>
    <v>24</v>
  </rv>
  <rv s="1">
    <fb>3.0709</fb>
    <v>26</v>
  </rv>
  <rv s="1">
    <fb>11592952</fb>
    <v>25</v>
  </rv>
  <rv s="1">
    <fb>0.22699999999999998</fb>
    <v>24</v>
  </rv>
  <rv s="1">
    <fb>0.36299999999999999</fb>
    <v>24</v>
  </rv>
  <rv s="1">
    <fb>3.3000000000000002E-2</fb>
    <v>24</v>
  </rv>
  <rv s="1">
    <fb>8.6999999999999994E-2</fb>
    <v>24</v>
  </rv>
  <rv s="1">
    <fb>0.14199999999999999</fb>
    <v>24</v>
  </rv>
  <rv s="1">
    <fb>0.18100000000000002</fb>
    <v>24</v>
  </rv>
  <rv s="1">
    <fb>0.53562000274658206</fb>
    <v>24</v>
  </rv>
  <rv s="0">
    <v>536870912</v>
    <v>Wallonia</v>
    <v>077dc74d-75df-1a0d-c05f-5dc9a9747925</v>
    <v>en-GB</v>
    <v>Map</v>
  </rv>
  <rv s="0">
    <v>536870912</v>
    <v>Flemish Community</v>
    <v>4f05af02-ec3c-fd46-ee2b-e337b6c04765</v>
    <v>en-GB</v>
    <v>Map</v>
  </rv>
  <rv s="0">
    <v>536870912</v>
    <v>French Community of Belgium</v>
    <v>779fa741-36f0-cc6e-2855-83d5ae5da084</v>
    <v>en-GB</v>
    <v>Map</v>
  </rv>
  <rv s="0">
    <v>536870912</v>
    <v>German-speaking Community of Belgium</v>
    <v>c35913f6-66b0-4c53-bb70-050b664a1edc</v>
    <v>en-GB</v>
    <v>Map</v>
  </rv>
  <rv s="0">
    <v>536870912</v>
    <v>Flemish Region</v>
    <v>f250b992-acb5-d7d5-db4f-47fb684176fd</v>
    <v>en-GB</v>
    <v>Map</v>
  </rv>
  <rv s="0">
    <v>536870912</v>
    <v>Brussels</v>
    <v>f77206fd-fe4f-6c8e-5588-1d0651b151ea</v>
    <v>en-GB</v>
    <v>Map</v>
  </rv>
  <rv s="3">
    <v>30</v>
  </rv>
  <rv s="1">
    <fb>0.23994106172459101</fb>
    <v>24</v>
  </rv>
  <rv s="3">
    <v>31</v>
  </rv>
  <rv s="1">
    <fb>0.55399999999999994</fb>
    <v>24</v>
  </rv>
  <rv s="1">
    <fb>5.5890002250671394E-2</fb>
    <v>33</v>
  </rv>
  <rv s="1">
    <fb>11259082</fb>
    <v>25</v>
  </rv>
  <rv s="6">
    <v>#VALUE!</v>
    <v>en-GB</v>
    <v>ac5bcc34-e1cd-2e76-9d31-fb1be1159a5e</v>
    <v>536870912</v>
    <v>1</v>
    <v>80</v>
    <v>38</v>
    <v>Belgium</v>
    <v>20</v>
    <v>21</v>
    <v>Map</v>
    <v>22</v>
    <v>81</v>
    <v>BE</v>
    <v>737</v>
    <v>738</v>
    <v>739</v>
    <v>740</v>
    <v>741</v>
    <v>742</v>
    <v>743</v>
    <v>744</v>
    <v>745</v>
    <v>BEF</v>
    <v>Belgium, formally the Kingdom of Belgium, is a country in Northwestern Europe. The country is bordered by the Netherlands to the north, Germany to the east, Luxembourg to the southeast, France to the southwest, and the North Sea to the northwest. It covers an area of 30,528 km² and has a population of more than 11.5 million, making it the 22nd most densely populated country in the world and the 6th most densely populated country in Europe, with a density of 376/km². Belgium is part of an area known as the Low Countries, historically a somewhat larger region than the Benelux group of states, as it also included parts of northern France. The capital and largest city is Brussels; other major cities are Antwerp, Ghent, Charleroi, Liège, Bruges, Namur, and Leuven.</v>
    <v>746</v>
    <v>747</v>
    <v>748</v>
    <v>749</v>
    <v>750</v>
    <v>751</v>
    <v>752</v>
    <v>753</v>
    <v>754</v>
    <v>755</v>
    <v>742</v>
    <v>758</v>
    <v>759</v>
    <v>760</v>
    <v>761</v>
    <v>26</v>
    <v>762</v>
    <v>Belgium</v>
    <v>La Brabançonne</v>
    <v>763</v>
    <v>Königreich Belgien</v>
    <v>764</v>
    <v>765</v>
    <v>766</v>
    <v>767</v>
    <v>213</v>
    <v>768</v>
    <v>769</v>
    <v>770</v>
    <v>771</v>
    <v>772</v>
    <v>773</v>
    <v>780</v>
    <v>781</v>
    <v>782</v>
    <v>783</v>
    <v>784</v>
    <v>Belgium</v>
    <v>785</v>
    <v>mdp/vdpid/21</v>
  </rv>
  <rv s="0">
    <v>536870912</v>
    <v>Sweden</v>
    <v>a5928099-53c3-11a8-91e6-6fe59b8c4f9a</v>
    <v>en-GB</v>
    <v>Map</v>
  </rv>
  <rv s="1">
    <fb>7.4427340355012209E-2</fb>
    <v>24</v>
  </rv>
  <rv s="1">
    <fb>447425.16</fb>
    <v>25</v>
  </rv>
  <rv s="1">
    <fb>30000</fb>
    <v>25</v>
  </rv>
  <rv s="1">
    <fb>11.4</fb>
    <v>26</v>
  </rv>
  <rv s="1">
    <fb>46</fb>
    <v>27</v>
  </rv>
  <rv s="0">
    <v>536870912</v>
    <v>Stockholm</v>
    <v>9daa4a8d-0e69-da3a-672e-16d4743a665b</v>
    <v>en-GB</v>
    <v>Map</v>
  </rv>
  <rv s="1">
    <fb>43252.264999999999</fb>
    <v>25</v>
  </rv>
  <rv s="1">
    <fb>110.509219846432</fb>
    <v>28</v>
  </rv>
  <rv s="1">
    <fb>1.7841509740383198E-2</fb>
    <v>24</v>
  </rv>
  <rv s="1">
    <fb>13480.148224391</fb>
    <v>25</v>
  </rv>
  <rv s="1">
    <fb>1.76</fb>
    <v>26</v>
  </rv>
  <rv s="1">
    <fb>0.68922933392256491</fb>
    <v>24</v>
  </rv>
  <rv s="1">
    <fb>25.117096134653099</fb>
    <v>29</v>
  </rv>
  <rv s="1">
    <fb>1.42</fb>
    <v>30</v>
  </rv>
  <rv s="1">
    <fb>530832908737.862</fb>
    <v>31</v>
  </rv>
  <rv s="1">
    <fb>1.2657537999999999</fb>
    <v>24</v>
  </rv>
  <rv s="1">
    <fb>0.6698824000000001</fb>
    <v>24</v>
  </rv>
  <rv s="2">
    <v>9</v>
    <v>22</v>
    <v>88</v>
    <v>7</v>
    <v>0</v>
    <v>Image of Sweden</v>
  </rv>
  <rv s="1">
    <fb>2.2000000000000002</fb>
    <v>29</v>
  </rv>
  <rv s="0">
    <v>805306368</v>
    <v>Carl XVI Gustaf (Monarch)</v>
    <v>d74145c5-55cc-559b-1761-543f3fbf2fcd</v>
    <v>en-GB</v>
    <v>Generic</v>
  </rv>
  <rv s="0">
    <v>805306368</v>
    <v>Ulf Kristersson (Prime minister)</v>
    <v>b10837fe-3ec0-27e8-04f3-230e5f1c436f</v>
    <v>en-GB</v>
    <v>Generic</v>
  </rv>
  <rv s="3">
    <v>32</v>
  </rv>
  <rv s="4">
    <v>https://www.bing.com/search?q=sweden&amp;form=skydnc</v>
    <v>Learn more on Bing</v>
  </rv>
  <rv s="1">
    <fb>82.512195121951194</fb>
    <v>29</v>
  </rv>
  <rv s="1">
    <fb>289877140000</fb>
    <v>31</v>
  </rv>
  <rv s="3">
    <v>33</v>
  </rv>
  <rv s="1">
    <fb>0.15191583449999999</fb>
    <v>24</v>
  </rv>
  <rv s="1">
    <fb>3.984</fb>
    <v>26</v>
  </rv>
  <rv s="1">
    <fb>10415811</fb>
    <v>25</v>
  </rv>
  <rv s="1">
    <fb>0.23100000000000001</fb>
    <v>24</v>
  </rv>
  <rv s="1">
    <fb>0.371</fb>
    <v>24</v>
  </rv>
  <rv s="1">
    <fb>0.03</fb>
    <v>24</v>
  </rv>
  <rv s="1">
    <fb>8.3000000000000004E-2</fb>
    <v>24</v>
  </rv>
  <rv s="1">
    <fb>0.13900000000000001</fb>
    <v>24</v>
  </rv>
  <rv s="1">
    <fb>0.17600000000000002</fb>
    <v>24</v>
  </rv>
  <rv s="1">
    <fb>0.64561996459960891</fb>
    <v>24</v>
  </rv>
  <rv s="0">
    <v>536870912</v>
    <v>Östergötland County</v>
    <v>01c3007b-b64c-a1f4-0a51-e925799b11b3</v>
    <v>en-GB</v>
    <v>Map</v>
  </rv>
  <rv s="0">
    <v>536870912</v>
    <v>Skåne County</v>
    <v>1a7ebb30-64eb-43da-b5e5-6b7ab82a8f94</v>
    <v>en-GB</v>
    <v>Map</v>
  </rv>
  <rv s="0">
    <v>536870912</v>
    <v>Gävleborg County</v>
    <v>2fa0e9bf-9a1f-2db4-ff85-974c84f03f11</v>
    <v>en-GB</v>
    <v>Map</v>
  </rv>
  <rv s="0">
    <v>536870912</v>
    <v>Västmanland County</v>
    <v>417f3366-57d0-4c10-ee14-819f1c4201df</v>
    <v>en-GB</v>
    <v>Map</v>
  </rv>
  <rv s="0">
    <v>536870912</v>
    <v>Stockholm County</v>
    <v>41fffb7d-bbe9-8d1b-286b-f0fdeb3ab886</v>
    <v>en-GB</v>
    <v>Map</v>
  </rv>
  <rv s="0">
    <v>536870912</v>
    <v>Jönköping County</v>
    <v>4a52f0db-caec-d69c-e4fc-043d1e5a5128</v>
    <v>en-GB</v>
    <v>Map</v>
  </rv>
  <rv s="0">
    <v>536870912</v>
    <v>Halland County</v>
    <v>5481447f-928d-c108-02bf-694684b100d7</v>
    <v>en-GB</v>
    <v>Map</v>
  </rv>
  <rv s="0">
    <v>536870912</v>
    <v>Jämtland County</v>
    <v>6a67f9a4-8a7c-72f0-397e-99932d75a5cc</v>
    <v>en-GB</v>
    <v>Map</v>
  </rv>
  <rv s="0">
    <v>536870912</v>
    <v>Västernorrland County</v>
    <v>a35ed386-5b37-a411-1499-a7d817b777bd</v>
    <v>en-GB</v>
    <v>Map</v>
  </rv>
  <rv s="0">
    <v>536870912</v>
    <v>Värmland County</v>
    <v>b2aa94cd-cc7f-eaf1-fded-87f65509841d</v>
    <v>en-GB</v>
    <v>Map</v>
  </rv>
  <rv s="0">
    <v>536870912</v>
    <v>Södermanland County</v>
    <v>b438dc8e-7013-5013-903f-c9921861268e</v>
    <v>en-GB</v>
    <v>Map</v>
  </rv>
  <rv s="0">
    <v>536870912</v>
    <v>Norrbotten County</v>
    <v>c860fcb0-9345-ca80-5100-5bafcdbf2263</v>
    <v>en-GB</v>
    <v>Map</v>
  </rv>
  <rv s="0">
    <v>536870912</v>
    <v>Västerbotten County</v>
    <v>cc98b155-efa3-e92b-fee4-917b63865fcd</v>
    <v>en-GB</v>
    <v>Map</v>
  </rv>
  <rv s="0">
    <v>536870912</v>
    <v>Kalmar County</v>
    <v>d6332475-042c-41cf-bea3-d9da728e8c07</v>
    <v>en-GB</v>
    <v>Map</v>
  </rv>
  <rv s="0">
    <v>536870912</v>
    <v>Dalarna County</v>
    <v>dc686086-9714-0fc8-877f-623421e32d97</v>
    <v>en-GB</v>
    <v>Map</v>
  </rv>
  <rv s="0">
    <v>536870912</v>
    <v>Uppsala County</v>
    <v>e2d7075a-c293-6db6-92ac-bdee4711a5d0</v>
    <v>en-GB</v>
    <v>Map</v>
  </rv>
  <rv s="0">
    <v>536870912</v>
    <v>Västra Götaland County</v>
    <v>ec27be9f-c019-4bd7-6372-f8f07b5ef74c</v>
    <v>en-GB</v>
    <v>Map</v>
  </rv>
  <rv s="0">
    <v>536870912</v>
    <v>Örebro County</v>
    <v>efe70c03-c63c-a6f2-2d91-08beb34f7d5a</v>
    <v>en-GB</v>
    <v>Map</v>
  </rv>
  <rv s="0">
    <v>536870912</v>
    <v>Kronoberg County</v>
    <v>f3a677ac-87ae-cc8a-2a3d-a13738ebe6cb</v>
    <v>en-GB</v>
    <v>Map</v>
  </rv>
  <rv s="0">
    <v>536870912</v>
    <v>Blekinge County</v>
    <v>f42b0a89-7f16-f3ac-1c08-bf416e533f12</v>
    <v>en-GB</v>
    <v>Map</v>
  </rv>
  <rv s="0">
    <v>536870912</v>
    <v>Gotland County</v>
    <v>f5173bdd-5938-3166-7ba6-c11a9da66db1</v>
    <v>en-GB</v>
    <v>Map</v>
  </rv>
  <rv s="3">
    <v>34</v>
  </rv>
  <rv s="1">
    <fb>0.27911031322372698</fb>
    <v>24</v>
  </rv>
  <rv s="1">
    <fb>0.49099999999999999</fb>
    <v>24</v>
  </rv>
  <rv s="1">
    <fb>6.4759998321533202E-2</fb>
    <v>33</v>
  </rv>
  <rv s="1">
    <fb>9021165</fb>
    <v>25</v>
  </rv>
  <rv s="5">
    <v>#VALUE!</v>
    <v>en-GB</v>
    <v>a5928099-53c3-11a8-91e6-6fe59b8c4f9a</v>
    <v>536870912</v>
    <v>1</v>
    <v>86</v>
    <v>17</v>
    <v>Sweden</v>
    <v>20</v>
    <v>21</v>
    <v>Map</v>
    <v>22</v>
    <v>87</v>
    <v>SE</v>
    <v>788</v>
    <v>789</v>
    <v>790</v>
    <v>791</v>
    <v>792</v>
    <v>793</v>
    <v>794</v>
    <v>795</v>
    <v>796</v>
    <v>SEK</v>
    <v>Sweden, formally the Kingdom of Sweden, is a Nordic country located on the Scandinavian Peninsula in Northern Europe. It borders Norway to the west and north, Finland to the east, and is connected to Denmark in the southwest by a bridge–tunnel across the Öresund. At 447,425 square kilometres, Sweden is the largest Nordic country, the third-largest country in the European Union, and the fifth-largest country in Europe. The capital and largest city is Stockholm. Sweden has a total population of 10.5 million, and a low population density of 25.5 inhabitants per square kilometre, with around 87% of Swedes residing in urban areas, which cover 1.5% of the entire land area, in the central and southern half of the country.</v>
    <v>797</v>
    <v>798</v>
    <v>799</v>
    <v>800</v>
    <v>801</v>
    <v>802</v>
    <v>803</v>
    <v>804</v>
    <v>805</v>
    <v>806</v>
    <v>793</v>
    <v>809</v>
    <v>810</v>
    <v>811</v>
    <v>812</v>
    <v>208</v>
    <v>Sweden</v>
    <v>Du gamla, du fria</v>
    <v>813</v>
    <v>Konungariket Sverige</v>
    <v>814</v>
    <v>815</v>
    <v>816</v>
    <v>817</v>
    <v>103</v>
    <v>818</v>
    <v>819</v>
    <v>820</v>
    <v>821</v>
    <v>822</v>
    <v>823</v>
    <v>845</v>
    <v>846</v>
    <v>67</v>
    <v>847</v>
    <v>848</v>
    <v>Sweden</v>
    <v>849</v>
    <v>mdp/vdpid/221</v>
  </rv>
  <rv s="0">
    <v>536870912</v>
    <v>Spain</v>
    <v>1baf9d59-f443-e9f4-6e49-de048a073e3f</v>
    <v>en-GB</v>
    <v>Map</v>
  </rv>
  <rv s="1">
    <fb>0.52577247440306896</fb>
    <v>24</v>
  </rv>
  <rv s="1">
    <fb>505990</fb>
    <v>25</v>
  </rv>
  <rv s="1">
    <fb>196000</fb>
    <v>25</v>
  </rv>
  <rv s="1">
    <fb>7.9</fb>
    <v>26</v>
  </rv>
  <rv s="1">
    <fb>34</fb>
    <v>27</v>
  </rv>
  <rv s="0">
    <v>536870912</v>
    <v>Madrid</v>
    <v>a497c067-c4c6-4bf4-9a5d-34fd30589bda</v>
    <v>en-GB</v>
    <v>Map</v>
  </rv>
  <rv s="1">
    <fb>244002.18</fb>
    <v>25</v>
  </rv>
  <rv s="1">
    <fb>110.96151904206</fb>
    <v>28</v>
  </rv>
  <rv s="1">
    <fb>6.9953624171701497E-3</fb>
    <v>24</v>
  </rv>
  <rv s="1">
    <fb>5355.9870055822103</fb>
    <v>25</v>
  </rv>
  <rv s="1">
    <fb>1.26</fb>
    <v>26</v>
  </rv>
  <rv s="1">
    <fb>0.36936209528965797</fb>
    <v>24</v>
  </rv>
  <rv s="1">
    <fb>72.955546118337793</fb>
    <v>29</v>
  </rv>
  <rv s="1">
    <fb>1.26</fb>
    <v>30</v>
  </rv>
  <rv s="1">
    <fb>1394116310768.6299</fb>
    <v>31</v>
  </rv>
  <rv s="1">
    <fb>1.0271029</fb>
    <v>24</v>
  </rv>
  <rv s="1">
    <fb>0.88853009999999999</fb>
    <v>24</v>
  </rv>
  <rv s="2">
    <v>10</v>
    <v>22</v>
    <v>93</v>
    <v>7</v>
    <v>0</v>
    <v>Image of Spain</v>
  </rv>
  <rv s="1">
    <fb>2.5</fb>
    <v>29</v>
  </rv>
  <rv s="0">
    <v>805306368</v>
    <v>Felipe VI (Monarch)</v>
    <v>ec86fb82-ddbc-286a-d1a7-3644682c1efc</v>
    <v>en-GB</v>
    <v>Generic</v>
  </rv>
  <rv s="0">
    <v>805306368</v>
    <v>Pedro Sánchez (Prime minister)</v>
    <v>9e0d6cf3-f466-7b6f-0a92-aa23020fc120</v>
    <v>en-GB</v>
    <v>Generic</v>
  </rv>
  <rv s="3">
    <v>35</v>
  </rv>
  <rv s="4">
    <v>https://www.bing.com/search?q=spain&amp;form=skydnc</v>
    <v>Learn more on Bing</v>
  </rv>
  <rv s="1">
    <fb>83.334146341463395</fb>
    <v>29</v>
  </rv>
  <rv s="1">
    <fb>797285840000</fb>
    <v>31</v>
  </rv>
  <rv s="1">
    <fb>5.6</fb>
    <v>30</v>
  </rv>
  <rv s="3">
    <v>36</v>
  </rv>
  <rv s="1">
    <fb>0.24229018520000001</fb>
    <v>24</v>
  </rv>
  <rv s="1">
    <fb>3.8723000000000001</fb>
    <v>26</v>
  </rv>
  <rv s="1">
    <fb>47415750</fb>
    <v>25</v>
  </rv>
  <rv s="1">
    <fb>0.23399999999999999</fb>
    <v>24</v>
  </rv>
  <rv s="1">
    <fb>0.254</fb>
    <v>24</v>
  </rv>
  <rv s="1">
    <fb>0.41</fb>
    <v>24</v>
  </rv>
  <rv s="1">
    <fb>2.1000000000000001E-2</fb>
    <v>24</v>
  </rv>
  <rv s="1">
    <fb>6.2E-2</fb>
    <v>24</v>
  </rv>
  <rv s="1">
    <fb>0.57492000579834002</fb>
    <v>24</v>
  </rv>
  <rv s="0">
    <v>536870912</v>
    <v>Castilla–La Mancha</v>
    <v>1e79c598-5619-e707-75d9-40410db3c0b2</v>
    <v>en-GB</v>
    <v>Map</v>
  </rv>
  <rv s="0">
    <v>536870912</v>
    <v>Basque Country</v>
    <v>27cbb013-d521-0f66-7c87-67bad92e92f5</v>
    <v>en-GB</v>
    <v>Map</v>
  </rv>
  <rv s="0">
    <v>536870912</v>
    <v>Ceuta</v>
    <v>4575b2d9-4933-9d93-b84d-3080054b3dda</v>
    <v>en-GB</v>
    <v>Map</v>
  </rv>
  <rv s="0">
    <v>536870912</v>
    <v>Catalonia</v>
    <v>54afd4ed-d6c4-c6c9-2f8d-10440795b196</v>
    <v>en-GB</v>
    <v>Map</v>
  </rv>
  <rv s="0">
    <v>536870912</v>
    <v>Extremadura</v>
    <v>60c245e4-f9c9-d637-1ff7-50148c20166f</v>
    <v>en-GB</v>
    <v>Map</v>
  </rv>
  <rv s="0">
    <v>536870912</v>
    <v>Aragon</v>
    <v>66482df7-7a8d-eb53-1b74-7702eb8f6ab7</v>
    <v>en-GB</v>
    <v>Map</v>
  </rv>
  <rv s="0">
    <v>536870912</v>
    <v>Asturias</v>
    <v>6880b28a-27ed-46a3-3b3f-93553df34103</v>
    <v>en-GB</v>
    <v>Map</v>
  </rv>
  <rv s="0">
    <v>536870912</v>
    <v>Galicia</v>
    <v>70c91f08-f55c-f98a-047e-aa9228ed4253</v>
    <v>en-GB</v>
    <v>Map</v>
  </rv>
  <rv s="0">
    <v>536870912</v>
    <v>Castile and León</v>
    <v>7fc8f34d-7f31-b8c6-34d4-545cb3920adf</v>
    <v>en-GB</v>
    <v>Map</v>
  </rv>
  <rv s="0">
    <v>536870912</v>
    <v>Community of Madrid</v>
    <v>854c08ed-f6d7-c812-1a3f-46928ae0597e</v>
    <v>en-GB</v>
    <v>Map</v>
  </rv>
  <rv s="0">
    <v>536870912</v>
    <v>Plazas de soberanía</v>
    <v>935b7c9e-4b9e-402c-39a9-07ccba27ebd0</v>
    <v>en-GB</v>
    <v>Map</v>
  </rv>
  <rv s="0">
    <v>536870912</v>
    <v>Melilla</v>
    <v>a67b3afb-47dd-d884-afd6-0794c4de12ba</v>
    <v>en-GB</v>
    <v>Map</v>
  </rv>
  <rv s="0">
    <v>536870912</v>
    <v>Andalusia</v>
    <v>b009454b-b921-1477-fbf3-ea4c66d409b5</v>
    <v>en-GB</v>
    <v>Map</v>
  </rv>
  <rv s="0">
    <v>536870912</v>
    <v>Navarre</v>
    <v>bd2c46e0-0dec-2a95-cf06-e23728a2a0ed</v>
    <v>en-GB</v>
    <v>Map</v>
  </rv>
  <rv s="0">
    <v>536870912</v>
    <v>La Rioja</v>
    <v>c27fd34e-d1ab-5145-cc6e-9d85b07f919e</v>
    <v>en-GB</v>
    <v>Map</v>
  </rv>
  <rv s="0">
    <v>536870912</v>
    <v>Valencian Community</v>
    <v>d1a45f13-aca9-6854-cb23-92573a279216</v>
    <v>en-GB</v>
    <v>Map</v>
  </rv>
  <rv s="0">
    <v>536870912</v>
    <v>Canary Islands</v>
    <v>e5f4f633-d27e-9012-be27-a85d7ed21999</v>
    <v>en-GB</v>
    <v>Map</v>
  </rv>
  <rv s="0">
    <v>536870912</v>
    <v>Region of Murcia</v>
    <v>e697a468-5c9d-9a42-68ac-b04781a55abd</v>
    <v>en-GB</v>
    <v>Map</v>
  </rv>
  <rv s="0">
    <v>536870912</v>
    <v>Cantabria</v>
    <v>ff0ffbe3-172a-ecd8-17cd-6f2f89c9d0dd</v>
    <v>en-GB</v>
    <v>Map</v>
  </rv>
  <rv s="3">
    <v>37</v>
  </rv>
  <rv s="1">
    <fb>0.14248211393678101</fb>
    <v>24</v>
  </rv>
  <rv s="3">
    <v>38</v>
  </rv>
  <rv s="1">
    <fb>0.47</fb>
    <v>24</v>
  </rv>
  <rv s="1">
    <fb>0.13958999633789099</fb>
    <v>33</v>
  </rv>
  <rv s="1">
    <fb>37927409</fb>
    <v>25</v>
  </rv>
  <rv s="6">
    <v>#VALUE!</v>
    <v>en-GB</v>
    <v>1baf9d59-f443-e9f4-6e49-de048a073e3f</v>
    <v>536870912</v>
    <v>1</v>
    <v>92</v>
    <v>38</v>
    <v>Spain</v>
    <v>20</v>
    <v>21</v>
    <v>Map</v>
    <v>22</v>
    <v>23</v>
    <v>ES</v>
    <v>852</v>
    <v>853</v>
    <v>854</v>
    <v>855</v>
    <v>856</v>
    <v>857</v>
    <v>858</v>
    <v>859</v>
    <v>860</v>
    <v>ESP</v>
    <v>Spain, or the Kingdom of Spain, is a country located in Southwestern Europe, with parts of its territory in the Atlantic Ocean and across the Mediterranean Sea. The largest part of Spain is situated on the Iberian Peninsula; its territory also includes the Canary Islands in the Atlantic Ocean, the Balearic Islands in the Mediterranean Sea, and the autonomous cities of Ceuta and Melilla in Africa. The country's mainland is bordered to the north by France, Andorra, and the Bay of Biscay; to the east and south by the Mediterranean Sea and Gibraltar; and to the west by Portugal and the Atlantic Ocean. It is the largest country in Southern Europe and the second-largest and fourth-most populous in the European Union. Spain's capital and largest city is Madrid; other major urban areas include Barcelona, Valencia, Zaragoza, Seville, Málaga, Murcia, Palma de Mallorca, Las Palmas de Gran Canaria, and Bilbao.</v>
    <v>861</v>
    <v>862</v>
    <v>863</v>
    <v>864</v>
    <v>865</v>
    <v>866</v>
    <v>867</v>
    <v>868</v>
    <v>869</v>
    <v>870</v>
    <v>857</v>
    <v>873</v>
    <v>874</v>
    <v>875</v>
    <v>876</v>
    <v>208</v>
    <v>877</v>
    <v>Spain</v>
    <v>Marcha Real</v>
    <v>878</v>
    <v>Reino de España</v>
    <v>879</v>
    <v>880</v>
    <v>881</v>
    <v>882</v>
    <v>883</v>
    <v>884</v>
    <v>885</v>
    <v>886</v>
    <v>710</v>
    <v>219</v>
    <v>887</v>
    <v>907</v>
    <v>908</v>
    <v>909</v>
    <v>910</v>
    <v>911</v>
    <v>Spain</v>
    <v>912</v>
    <v>mdp/vdpid/217</v>
  </rv>
  <rv s="0">
    <v>536870912</v>
    <v>Japan</v>
    <v>130d0438-fafb-cd2d-1a9e-1dd9c5aa87a9</v>
    <v>en-GB</v>
    <v>Map</v>
  </rv>
  <rv s="1">
    <fb>0.122640991880623</fb>
    <v>24</v>
  </rv>
  <rv s="1">
    <fb>377972.28</fb>
    <v>25</v>
  </rv>
  <rv s="1">
    <fb>261000</fb>
    <v>25</v>
  </rv>
  <rv s="1">
    <fb>7.4</fb>
    <v>26</v>
  </rv>
  <rv s="1">
    <fb>81</fb>
    <v>27</v>
  </rv>
  <rv s="0">
    <v>536870912</v>
    <v>Tokyo</v>
    <v>cb44a92f-6c6f-99c4-2ae3-51601fdc919a</v>
    <v>en-GB</v>
    <v>Map</v>
  </rv>
  <rv s="1">
    <fb>1135886.253</fb>
    <v>25</v>
  </rv>
  <rv s="1">
    <fb>105.482172148839</fb>
    <v>28</v>
  </rv>
  <rv s="1">
    <fb>4.7697368421052103E-3</fb>
    <v>24</v>
  </rv>
  <rv s="1">
    <fb>7819.7146359093604</fb>
    <v>25</v>
  </rv>
  <rv s="1">
    <fb>1.42</fb>
    <v>26</v>
  </rv>
  <rv s="1">
    <fb>0.68456222269653788</fb>
    <v>24</v>
  </rv>
  <rv s="1">
    <fb>93.026455107462894</fb>
    <v>29</v>
  </rv>
  <rv s="1">
    <fb>1.06</fb>
    <v>30</v>
  </rv>
  <rv s="1">
    <fb>5081769542379.7695</fb>
    <v>31</v>
  </rv>
  <rv s="1">
    <fb>0.98799942016601605</fb>
    <v>24</v>
  </rv>
  <rv s="1">
    <fb>0.63237579345703099</fb>
    <v>24</v>
  </rv>
  <rv s="2">
    <v>11</v>
    <v>22</v>
    <v>99</v>
    <v>7</v>
    <v>0</v>
    <v>Image of Japan</v>
  </rv>
  <rv s="1">
    <fb>1.8</fb>
    <v>29</v>
  </rv>
  <rv s="0">
    <v>805306368</v>
    <v>Fumio Kishida (Prime minister)</v>
    <v>4c39adbe-f9a5-4343-12a6-6f72b644c5f9</v>
    <v>en-GB</v>
    <v>Generic</v>
  </rv>
  <rv s="3">
    <v>39</v>
  </rv>
  <rv s="4">
    <v>https://www.bing.com/search?q=japan&amp;form=skydnc</v>
    <v>Learn more on Bing</v>
  </rv>
  <rv s="1">
    <fb>84.210975609756105</fb>
    <v>29</v>
  </rv>
  <rv s="1">
    <fb>6191073290000</fb>
    <v>31</v>
  </rv>
  <rv s="1">
    <fb>6.77</fb>
    <v>30</v>
  </rv>
  <rv s="3">
    <v>40</v>
  </rv>
  <rv s="1">
    <fb>0.13097521000000001</fb>
    <v>24</v>
  </rv>
  <rv s="1">
    <fb>2.4115000000000002</fb>
    <v>26</v>
  </rv>
  <rv s="1">
    <fb>125681593</fb>
    <v>25</v>
  </rv>
  <rv s="1">
    <fb>0.217</fb>
    <v>24</v>
  </rv>
  <rv s="1">
    <fb>0.26400000000000001</fb>
    <v>24</v>
  </rv>
  <rv s="1">
    <fb>0.41100000000000003</fb>
    <v>24</v>
  </rv>
  <rv s="1">
    <fb>2.8999999999999998E-2</fb>
    <v>24</v>
  </rv>
  <rv s="1">
    <fb>0.128</fb>
    <v>24</v>
  </rv>
  <rv s="1">
    <fb>0.16600000000000001</fb>
    <v>24</v>
  </rv>
  <rv s="1">
    <fb>0.61726001739502001</fb>
    <v>24</v>
  </rv>
  <rv s="0">
    <v>536870912</v>
    <v>Hyōgo Prefecture</v>
    <v>018712db-aec7-3894-1042-cbf5df14fac5</v>
    <v>en-GB</v>
    <v>Map</v>
  </rv>
  <rv s="0">
    <v>536870912</v>
    <v>Iwate Prefecture</v>
    <v>02eea5a7-6ae7-8bf6-a17a-c242b4162121</v>
    <v>en-GB</v>
    <v>Map</v>
  </rv>
  <rv s="0">
    <v>536870912</v>
    <v>Saitama Prefecture</v>
    <v>03a81bc6-6fd0-fac9-0958-cd81fcf07a35</v>
    <v>en-GB</v>
    <v>Map</v>
  </rv>
  <rv s="0">
    <v>536870912</v>
    <v>Chiba Prefecture</v>
    <v>0d6c59a9-daa8-57c7-3846-568b398d3c41</v>
    <v>en-GB</v>
    <v>Map</v>
  </rv>
  <rv s="0">
    <v>536870912</v>
    <v>Ehime Prefecture</v>
    <v>0e0b1bbf-5926-d5dc-0e10-24f8c566ca8c</v>
    <v>en-GB</v>
    <v>Map</v>
  </rv>
  <rv s="0">
    <v>536870912</v>
    <v>Saga Prefecture</v>
    <v>171c9320-6b1a-2ebc-2002-85b3d707f979</v>
    <v>en-GB</v>
    <v>Map</v>
  </rv>
  <rv s="0">
    <v>536870912</v>
    <v>Akita Prefecture</v>
    <v>23901f9e-0010-b10e-217f-76889688c150</v>
    <v>en-GB</v>
    <v>Map</v>
  </rv>
  <rv s="0">
    <v>536870912</v>
    <v>Gifu Prefecture</v>
    <v>2c82ed6b-33c4-4355-bd09-71939ba5ff4a</v>
    <v>en-GB</v>
    <v>Map</v>
  </rv>
  <rv s="0">
    <v>536870912</v>
    <v>Miyagi Prefecture</v>
    <v>2df5e06d-7fb5-6da7-5d3b-29b4ff80395e</v>
    <v>en-GB</v>
    <v>Map</v>
  </rv>
  <rv s="0">
    <v>536870912</v>
    <v>Mie Prefecture</v>
    <v>36b5c190-9782-f717-071c-66ee3f0eab90</v>
    <v>en-GB</v>
    <v>Map</v>
  </rv>
  <rv s="0">
    <v>536870912</v>
    <v>Miyazaki Prefecture</v>
    <v>3bb91686-f345-53cf-6fb8-97d98890dc7d</v>
    <v>en-GB</v>
    <v>Map</v>
  </rv>
  <rv s="0">
    <v>536870912</v>
    <v>Yamanashi Prefecture</v>
    <v>3e9e0d88-33e9-a04d-7fd7-a1679da279b5</v>
    <v>en-GB</v>
    <v>Map</v>
  </rv>
  <rv s="0">
    <v>536870912</v>
    <v>Kōchi Prefecture</v>
    <v>3fcb8073-d695-79de-cd11-91dc78fb0481</v>
    <v>en-GB</v>
    <v>Map</v>
  </rv>
  <rv s="0">
    <v>536870912</v>
    <v>Toyama Prefecture</v>
    <v>3fd9a341-4706-cc8a-3953-779219c2cc10</v>
    <v>en-GB</v>
    <v>Map</v>
  </rv>
  <rv s="0">
    <v>536870912</v>
    <v>Aichi Prefecture</v>
    <v>404b15c4-d9ae-5896-6d50-b1481f5dd5cd</v>
    <v>en-GB</v>
    <v>Map</v>
  </rv>
  <rv s="0">
    <v>536870912</v>
    <v>Kumamoto Prefecture</v>
    <v>52bcf337-792b-3880-8875-847fe25699df</v>
    <v>en-GB</v>
    <v>Map</v>
  </rv>
  <rv s="0">
    <v>536870912</v>
    <v>Shimane Prefecture</v>
    <v>580cd2e8-a550-7297-21b8-252fe27c1650</v>
    <v>en-GB</v>
    <v>Map</v>
  </rv>
  <rv s="0">
    <v>536870912</v>
    <v>Tottori Prefecture</v>
    <v>5bfbddb8-df0b-1d9c-3772-363d9be5878a</v>
    <v>en-GB</v>
    <v>Map</v>
  </rv>
  <rv s="0">
    <v>536870912</v>
    <v>Kyoto Prefecture</v>
    <v>699d1960-1267-7c97-6c62-e139537430a0</v>
    <v>en-GB</v>
    <v>Map</v>
  </rv>
  <rv s="0">
    <v>536870912</v>
    <v>Fukushima Prefecture</v>
    <v>73791ec1-3b90-e21b-3cc7-0e8444934877</v>
    <v>en-GB</v>
    <v>Map</v>
  </rv>
  <rv s="0">
    <v>536870912</v>
    <v>Yamagata Prefecture</v>
    <v>74d18529-a623-a2f9-9e38-40891e57c7d8</v>
    <v>en-GB</v>
    <v>Map</v>
  </rv>
  <rv s="0">
    <v>536870912</v>
    <v>Hiroshima Prefecture</v>
    <v>75de6a1b-763c-40ed-8e98-60dc318775fc</v>
    <v>en-GB</v>
    <v>Map</v>
  </rv>
  <rv s="0">
    <v>536870912</v>
    <v>Nagano Prefecture</v>
    <v>7afcd7d0-3729-6e2f-d60f-ace5cc191bd0</v>
    <v>en-GB</v>
    <v>Map</v>
  </rv>
  <rv s="0">
    <v>536870912</v>
    <v>Yamaguchi Prefecture</v>
    <v>8a70f93f-b3cb-6430-8962-9b62c21575f3</v>
    <v>en-GB</v>
    <v>Map</v>
  </rv>
  <rv s="0">
    <v>536870912</v>
    <v>Nagasaki Prefecture</v>
    <v>8caf62a2-006c-dde2-9c4d-e19d90ff2f0e</v>
    <v>en-GB</v>
    <v>Map</v>
  </rv>
  <rv s="0">
    <v>536870912</v>
    <v>Tokushima Prefecture</v>
    <v>90ca77f2-2c01-cf7e-fb1e-58a68f9fc0bf</v>
    <v>en-GB</v>
    <v>Map</v>
  </rv>
  <rv s="0">
    <v>536870912</v>
    <v>Nara Prefecture</v>
    <v>99c4ba8c-9fb8-efe8-6368-0eb648372fb2</v>
    <v>en-GB</v>
    <v>Map</v>
  </rv>
  <rv s="0">
    <v>536870912</v>
    <v>Osaka Prefecture</v>
    <v>a583e9fe-2d16-b004-281e-4c6841471145</v>
    <v>en-GB</v>
    <v>Map</v>
  </rv>
  <rv s="0">
    <v>536870912</v>
    <v>Fukuoka Prefecture</v>
    <v>a58bcb0e-97b3-0ac9-f0c0-e119441e5cba</v>
    <v>en-GB</v>
    <v>Map</v>
  </rv>
  <rv s="0">
    <v>536870912</v>
    <v>Shiga Prefecture</v>
    <v>a778bb7c-b03b-d571-1839-962c4dea2bb2</v>
    <v>en-GB</v>
    <v>Map</v>
  </rv>
  <rv s="0">
    <v>536870912</v>
    <v>Gunma Prefecture</v>
    <v>b64077a0-378d-c23f-b45c-2b3a03cba119</v>
    <v>en-GB</v>
    <v>Map</v>
  </rv>
  <rv s="0">
    <v>536870912</v>
    <v>Aomori Prefecture</v>
    <v>bdd4a43f-5a1f-1483-b74b-1c2e2d564a31</v>
    <v>en-GB</v>
    <v>Map</v>
  </rv>
  <rv s="0">
    <v>536870912</v>
    <v>Kagawa Prefecture</v>
    <v>bdd9ba22-f775-2984-6115-5438af268070</v>
    <v>en-GB</v>
    <v>Map</v>
  </rv>
  <rv s="0">
    <v>536870912</v>
    <v>Kagoshima Prefecture</v>
    <v>c3e1f2d9-0225-9e77-d77d-952bbf72ceb7</v>
    <v>en-GB</v>
    <v>Map</v>
  </rv>
  <rv s="0">
    <v>536870912</v>
    <v>Ōita Prefecture</v>
    <v>c81f03fa-05e5-d708-3db6-3b6d5ed92f67</v>
    <v>en-GB</v>
    <v>Map</v>
  </rv>
  <rv s="0">
    <v>536870912</v>
    <v>Shizuoka Prefecture</v>
    <v>ca8ec756-8a3c-20a2-7e11-d24e284b7258</v>
    <v>en-GB</v>
    <v>Map</v>
  </rv>
  <rv s="0">
    <v>536870912</v>
    <v>Ibaraki Prefecture</v>
    <v>d16517c8-96b5-094f-f4ce-4aa391d6c7a2</v>
    <v>en-GB</v>
    <v>Map</v>
  </rv>
  <rv s="0">
    <v>536870912</v>
    <v>Kanagawa Prefecture</v>
    <v>d5976989-847c-bcca-3cb3-11bfacc55c5d</v>
    <v>en-GB</v>
    <v>Map</v>
  </rv>
  <rv s="0">
    <v>536870912</v>
    <v>Niigata Prefecture</v>
    <v>d88c2b16-14cc-3861-9ddc-31ebd94b17d9</v>
    <v>en-GB</v>
    <v>Map</v>
  </rv>
  <rv s="0">
    <v>536870912</v>
    <v>Ishikawa Prefecture</v>
    <v>db2b14c2-e9db-32f7-5d44-025637689af0</v>
    <v>en-GB</v>
    <v>Map</v>
  </rv>
  <rv s="0">
    <v>536870912</v>
    <v>Okinawa Prefecture</v>
    <v>e26094bf-30f4-9d5e-ed21-f166be1cfad3</v>
    <v>en-GB</v>
    <v>Map</v>
  </rv>
  <rv s="0">
    <v>536870912</v>
    <v>Fukui Prefecture</v>
    <v>e859104b-0d73-b8bf-c4f4-56888a2281cd</v>
    <v>en-GB</v>
    <v>Map</v>
  </rv>
  <rv s="0">
    <v>536870912</v>
    <v>Okayama Prefecture</v>
    <v>e9792cdf-f004-a2bf-db55-28eabec2a7c0</v>
    <v>en-GB</v>
    <v>Map</v>
  </rv>
  <rv s="0">
    <v>536870912</v>
    <v>Wakayama Prefecture</v>
    <v>fa064941-15ba-eb91-63a1-7e13f0aaa879</v>
    <v>en-GB</v>
    <v>Map</v>
  </rv>
  <rv s="0">
    <v>536870912</v>
    <v>Tochigi Prefecture</v>
    <v>faae3362-0727-4ec5-6d01-3048e7e1526c</v>
    <v>en-GB</v>
    <v>Map</v>
  </rv>
  <rv s="3">
    <v>41</v>
  </rv>
  <rv s="1">
    <fb>0.11905933830538</fb>
    <v>24</v>
  </rv>
  <rv s="3">
    <v>42</v>
  </rv>
  <rv s="1">
    <fb>0.46700000000000003</fb>
    <v>24</v>
  </rv>
  <rv s="1">
    <fb>2.2909998893737803E-2</fb>
    <v>33</v>
  </rv>
  <rv s="1">
    <fb>115782416</fb>
    <v>25</v>
  </rv>
  <rv s="6">
    <v>#VALUE!</v>
    <v>en-GB</v>
    <v>130d0438-fafb-cd2d-1a9e-1dd9c5aa87a9</v>
    <v>536870912</v>
    <v>1</v>
    <v>97</v>
    <v>38</v>
    <v>Japan</v>
    <v>20</v>
    <v>21</v>
    <v>Map</v>
    <v>22</v>
    <v>98</v>
    <v>JP</v>
    <v>915</v>
    <v>916</v>
    <v>917</v>
    <v>918</v>
    <v>919</v>
    <v>920</v>
    <v>921</v>
    <v>922</v>
    <v>923</v>
    <v>JPY</v>
    <v>Japan is an island country in East Asia. It is situated in the northwest Pacific Ocean and is bordered on the west by the Sea of Japan, extending from the Sea of Okhotsk in the north toward the East China Sea, Philippine Sea, and Taiwan in the south. Japan is a part of the Ring of Fire, and spans an archipelago of 14,125 islands, with the five main islands being Hokkaido, Honshu, Shikoku, Kyushu, and Okinawa. Tokyo is the nation's capital and largest city, followed by Yokohama, Osaka, Nagoya, Sapporo, Fukuoka, Kobe, and Kyoto.</v>
    <v>924</v>
    <v>925</v>
    <v>926</v>
    <v>927</v>
    <v>928</v>
    <v>929</v>
    <v>930</v>
    <v>931</v>
    <v>932</v>
    <v>933</v>
    <v>920</v>
    <v>935</v>
    <v>936</v>
    <v>937</v>
    <v>938</v>
    <v>26</v>
    <v>939</v>
    <v>Japan</v>
    <v>Kimigayo</v>
    <v>940</v>
    <v>日本国</v>
    <v>941</v>
    <v>942</v>
    <v>943</v>
    <v>944</v>
    <v>945</v>
    <v>946</v>
    <v>947</v>
    <v>35</v>
    <v>948</v>
    <v>949</v>
    <v>950</v>
    <v>996</v>
    <v>997</v>
    <v>998</v>
    <v>999</v>
    <v>1000</v>
    <v>Japan</v>
    <v>1001</v>
    <v>mdp/vdpid/122</v>
  </rv>
  <rv s="0">
    <v>536870912</v>
    <v>Germany</v>
    <v>75c62d8e-1449-4e4d-b188-d9e88f878dd9</v>
    <v>en-GB</v>
    <v>Map</v>
  </rv>
  <rv s="1">
    <fb>0.47678612319670299</fb>
    <v>24</v>
  </rv>
  <rv s="1">
    <fb>357587.77</fb>
    <v>25</v>
  </rv>
  <rv s="1">
    <fb>180000</fb>
    <v>25</v>
  </rv>
  <rv s="1">
    <fb>9.5</fb>
    <v>26</v>
  </rv>
  <rv s="1">
    <fb>49</fb>
    <v>27</v>
  </rv>
  <rv s="0">
    <v>536870912</v>
    <v>Berlin</v>
    <v>42784943-7c23-7672-5527-06f89b965cdf</v>
    <v>en-GB</v>
    <v>Map</v>
  </rv>
  <rv s="1">
    <fb>727972.84</fb>
    <v>25</v>
  </rv>
  <rv s="1">
    <fb>112.854887342124</fb>
    <v>28</v>
  </rv>
  <rv s="1">
    <fb>1.4456670146976E-2</fb>
    <v>24</v>
  </rv>
  <rv s="1">
    <fb>7035.4829747167596</fb>
    <v>25</v>
  </rv>
  <rv s="1">
    <fb>1.56</fb>
    <v>26</v>
  </rv>
  <rv s="1">
    <fb>0.326912067781085</fb>
    <v>24</v>
  </rv>
  <rv s="1">
    <fb>78.862551056754995</fb>
    <v>29</v>
  </rv>
  <rv s="1">
    <fb>3845630030823.52</fb>
    <v>31</v>
  </rv>
  <rv s="1">
    <fb>1.0402236</fb>
    <v>24</v>
  </rv>
  <rv s="1">
    <fb>0.70246649999999999</fb>
    <v>24</v>
  </rv>
  <rv s="2">
    <v>12</v>
    <v>22</v>
    <v>105</v>
    <v>7</v>
    <v>0</v>
    <v>Image of Germany</v>
  </rv>
  <rv s="0">
    <v>805306368</v>
    <v>Frank-Walter Steinmeier (President)</v>
    <v>a6d595f9-116c-57de-2b35-48e9bde9f83d</v>
    <v>en-GB</v>
    <v>Generic</v>
  </rv>
  <rv s="3">
    <v>43</v>
  </rv>
  <rv s="4">
    <v>https://www.bing.com/search?q=germany&amp;form=skydnc</v>
    <v>Learn more on Bing</v>
  </rv>
  <rv s="1">
    <fb>80.892682926829295</fb>
    <v>29</v>
  </rv>
  <rv s="1">
    <fb>2098173930000</fb>
    <v>31</v>
  </rv>
  <rv s="1">
    <fb>9.99</fb>
    <v>30</v>
  </rv>
  <rv s="3">
    <v>44</v>
  </rv>
  <rv s="1">
    <fb>0.12528421940000001</fb>
    <v>24</v>
  </rv>
  <rv s="1">
    <fb>4.2488000000000001</fb>
    <v>26</v>
  </rv>
  <rv s="1">
    <fb>83149300</fb>
    <v>25</v>
  </rv>
  <rv s="1">
    <fb>0.22800000000000001</fb>
    <v>24</v>
  </rv>
  <rv s="1">
    <fb>0.24600000000000002</fb>
    <v>24</v>
  </rv>
  <rv s="1">
    <fb>0.39600000000000002</fb>
    <v>24</v>
  </rv>
  <rv s="1">
    <fb>7.5999999999999998E-2</fb>
    <v>24</v>
  </rv>
  <rv s="1">
    <fb>0.17100000000000001</fb>
    <v>24</v>
  </rv>
  <rv s="1">
    <fb>0.60811000823974604</fb>
    <v>24</v>
  </rv>
  <rv s="0">
    <v>536870912</v>
    <v>Saarland</v>
    <v>077b3058-0078-d492-aee0-52b8d21ee39e</v>
    <v>en-GB</v>
    <v>Map</v>
  </rv>
  <rv s="0">
    <v>536870912</v>
    <v>Hamburg</v>
    <v>0937ec8c-54f7-94c7-d7b8-0ea8c6cfce6f</v>
    <v>en-GB</v>
    <v>Map</v>
  </rv>
  <rv s="0">
    <v>536870912</v>
    <v>Thuringia</v>
    <v>2c835594-51b5-17de-1f60-2f3a0e39894d</v>
    <v>en-GB</v>
    <v>Map</v>
  </rv>
  <rv s="0">
    <v>536870912</v>
    <v>Saxony-Anhalt</v>
    <v>6af91c75-020d-7d63-0e2d-ab73f9f73280</v>
    <v>en-GB</v>
    <v>Map</v>
  </rv>
  <rv s="0">
    <v>536870912</v>
    <v>Schleswig-Holstein</v>
    <v>6dde426c-96c7-18bd-f4e1-b41b7575557a</v>
    <v>en-GB</v>
    <v>Map</v>
  </rv>
  <rv s="0">
    <v>536870912</v>
    <v>Bremen</v>
    <v>70a6262d-6ded-6a1a-8a3d-e24538d50a05</v>
    <v>en-GB</v>
    <v>Map</v>
  </rv>
  <rv s="0">
    <v>536870912</v>
    <v>North Rhine-Westphalia</v>
    <v>7192ac29-308b-9018-2da7-1d16b5afb233</v>
    <v>en-GB</v>
    <v>Map</v>
  </rv>
  <rv s="0">
    <v>536870912</v>
    <v>Hesse</v>
    <v>90fbe078-3753-40db-ff12-40aa58e76c5f</v>
    <v>en-GB</v>
    <v>Map</v>
  </rv>
  <rv s="0">
    <v>536870912</v>
    <v>Mecklenburg-Vorpommern</v>
    <v>b0adc1b4-6fe2-3ad0-81e1-78c9ba53cedb</v>
    <v>en-GB</v>
    <v>Map</v>
  </rv>
  <rv s="0">
    <v>536870912</v>
    <v>Rhineland-Palatinate</v>
    <v>b2634da1-26f3-4709-d63d-9f9489a33d9c</v>
    <v>en-GB</v>
    <v>Map</v>
  </rv>
  <rv s="0">
    <v>536870912</v>
    <v>Brandenburg</v>
    <v>c841173c-24ae-1249-8be1-c2ff2ec02111</v>
    <v>en-GB</v>
    <v>Map</v>
  </rv>
  <rv s="0">
    <v>536870912</v>
    <v>Lower Saxony</v>
    <v>c91589e2-9db8-e9f2-b60d-1000c3502bc2</v>
    <v>en-GB</v>
    <v>Map</v>
  </rv>
  <rv s="0">
    <v>536870912</v>
    <v>Saxony</v>
    <v>db04ed86-d227-952f-dbae-2881e92d2d0a</v>
    <v>en-GB</v>
    <v>Map</v>
  </rv>
  <rv s="0">
    <v>536870912</v>
    <v>Baden-Württemberg</v>
    <v>e4767d1d-15fd-a8bd-1fcd-f8214d3c189f</v>
    <v>en-GB</v>
    <v>Map</v>
  </rv>
  <rv s="0">
    <v>536870912</v>
    <v>Bavaria</v>
    <v>e4f7e69f-e1bc-189a-d23d-b2ecee6a88d5</v>
    <v>en-GB</v>
    <v>Map</v>
  </rv>
  <rv s="3">
    <v>45</v>
  </rv>
  <rv s="1">
    <fb>0.11505903952014901</fb>
    <v>24</v>
  </rv>
  <rv s="1">
    <fb>0.48799999999999999</fb>
    <v>24</v>
  </rv>
  <rv s="1">
    <fb>3.0429999828338602E-2</fb>
    <v>33</v>
  </rv>
  <rv s="1">
    <fb>64324835</fb>
    <v>25</v>
  </rv>
  <rv s="6">
    <v>#VALUE!</v>
    <v>en-GB</v>
    <v>75c62d8e-1449-4e4d-b188-d9e88f878dd9</v>
    <v>536870912</v>
    <v>1</v>
    <v>103</v>
    <v>38</v>
    <v>Germany</v>
    <v>20</v>
    <v>21</v>
    <v>Map</v>
    <v>22</v>
    <v>104</v>
    <v>DE</v>
    <v>1004</v>
    <v>1005</v>
    <v>1006</v>
    <v>1007</v>
    <v>1008</v>
    <v>1009</v>
    <v>1010</v>
    <v>1011</v>
    <v>1012</v>
    <v>DEM</v>
    <v>Germany, officially the Federal Republic of Germany, is a country in Central Europe. It is the second-most populous country in Europe after Russia, and the most populous member state of the European Union. Germany is situated between the Baltic and North seas to the north, and the Alps to the south. Its 16 constituent states are bordered by Denmark to the north, Poland and the Czech Republic to the east, Austria and Switzerland to the south, and France, Luxembourg, Belgium, and the Netherlands to the west. The nation's capital and most populous city is Berlin and its main financial centre is Frankfurt; the largest urban area is the Ruhr.</v>
    <v>1013</v>
    <v>1014</v>
    <v>1015</v>
    <v>1016</v>
    <v>349</v>
    <v>1017</v>
    <v>1018</v>
    <v>1019</v>
    <v>1020</v>
    <v>695</v>
    <v>1009</v>
    <v>1022</v>
    <v>1023</v>
    <v>1024</v>
    <v>1025</v>
    <v>158</v>
    <v>1026</v>
    <v>Germany</v>
    <v>Deutschlandlied</v>
    <v>1027</v>
    <v>Bundesrepublik Deutschland</v>
    <v>1028</v>
    <v>1029</v>
    <v>1030</v>
    <v>1031</v>
    <v>1032</v>
    <v>1033</v>
    <v>947</v>
    <v>1034</v>
    <v>948</v>
    <v>1035</v>
    <v>1036</v>
    <v>1052</v>
    <v>1053</v>
    <v>909</v>
    <v>1054</v>
    <v>1055</v>
    <v>Germany</v>
    <v>1056</v>
    <v>mdp/vdpid/94</v>
  </rv>
  <rv s="0">
    <v>536870912</v>
    <v>Italy</v>
    <v>09e8f885-427b-8850-947d-202e0287b9e8</v>
    <v>en-GB</v>
    <v>Map</v>
  </rv>
  <rv s="1">
    <fb>0.432345141769226</fb>
    <v>24</v>
  </rv>
  <rv s="1">
    <fb>301338</fb>
    <v>25</v>
  </rv>
  <rv s="1">
    <fb>347000</fb>
    <v>25</v>
  </rv>
  <rv s="1">
    <fb>7.3</fb>
    <v>26</v>
  </rv>
  <rv s="1">
    <fb>39</fb>
    <v>27</v>
  </rv>
  <rv s="0">
    <v>536870912</v>
    <v>Rome</v>
    <v>5ed498af-fa85-2a88-874d-212494ddb06f</v>
    <v>en-GB</v>
    <v>Map</v>
  </rv>
  <rv s="1">
    <fb>320411.45899999997</fb>
    <v>25</v>
  </rv>
  <rv s="1">
    <fb>110.623595648239</fb>
    <v>28</v>
  </rv>
  <rv s="1">
    <fb>6.1124694376529102E-3</fb>
    <v>24</v>
  </rv>
  <rv s="1">
    <fb>5002.4066798773601</fb>
    <v>25</v>
  </rv>
  <rv s="1">
    <fb>1.29</fb>
    <v>26</v>
  </rv>
  <rv s="1">
    <fb>0.31790303272888798</fb>
    <v>24</v>
  </rv>
  <rv s="1">
    <fb>79.948454735494707</fb>
    <v>29</v>
  </rv>
  <rv s="1">
    <fb>1.61</fb>
    <v>30</v>
  </rv>
  <rv s="1">
    <fb>2001244392041.5701</fb>
    <v>31</v>
  </rv>
  <rv s="1">
    <fb>1.0187936</fb>
    <v>24</v>
  </rv>
  <rv s="1">
    <fb>0.61933000000000005</fb>
    <v>24</v>
  </rv>
  <rv s="2">
    <v>13</v>
    <v>22</v>
    <v>111</v>
    <v>7</v>
    <v>0</v>
    <v>Image of Italy</v>
  </rv>
  <rv s="1">
    <fb>2.6</fb>
    <v>29</v>
  </rv>
  <rv s="0">
    <v>805306368</v>
    <v>Giorgia Meloni (Prime minister)</v>
    <v>5c9bb82e-e08f-f5eb-9f29-f20e75e8eb8f</v>
    <v>en-GB</v>
    <v>Generic</v>
  </rv>
  <rv s="0">
    <v>805306368</v>
    <v>Sergio Mattarella (President)</v>
    <v>7b09388e-8b92-1261-db16-7c6882735fe1</v>
    <v>en-GB</v>
    <v>Generic</v>
  </rv>
  <rv s="3">
    <v>46</v>
  </rv>
  <rv s="4">
    <v>https://www.bing.com/search?q=italy&amp;form=skydnc</v>
    <v>Learn more on Bing</v>
  </rv>
  <rv s="1">
    <fb>82.946341463414697</fb>
    <v>29</v>
  </rv>
  <rv s="1">
    <fb>522087790000</fb>
    <v>31</v>
  </rv>
  <rv s="1">
    <fb>2</fb>
    <v>29</v>
  </rv>
  <rv s="3">
    <v>47</v>
  </rv>
  <rv s="1">
    <fb>0.2283268819</fb>
    <v>24</v>
  </rv>
  <rv s="1">
    <fb>3.9773999999999998</fb>
    <v>26</v>
  </rv>
  <rv s="1">
    <fb>59109668</fb>
    <v>25</v>
  </rv>
  <rv s="1">
    <fb>0.23</fb>
    <v>24</v>
  </rv>
  <rv s="1">
    <fb>0.26700000000000002</fb>
    <v>24</v>
  </rv>
  <rv s="1">
    <fb>1.9E-2</fb>
    <v>24</v>
  </rv>
  <rv s="1">
    <fb>0.06</fb>
    <v>24</v>
  </rv>
  <rv s="1">
    <fb>0.12</fb>
    <v>24</v>
  </rv>
  <rv s="1">
    <fb>0.495550003051758</fb>
    <v>24</v>
  </rv>
  <rv s="0">
    <v>536870912</v>
    <v>Molise</v>
    <v>048932e0-ef04-999e-a84f-326f5eaf1b11</v>
    <v>en-GB</v>
    <v>Map</v>
  </rv>
  <rv s="0">
    <v>536870912</v>
    <v>Emilia-Romagna</v>
    <v>129d3426-cfe5-9154-2989-f246e1aa5cec</v>
    <v>en-GB</v>
    <v>Map</v>
  </rv>
  <rv s="0">
    <v>536870912</v>
    <v>Apulia</v>
    <v>162619f7-7efb-76cc-0544-2da0306bd7c3</v>
    <v>en-GB</v>
    <v>Map</v>
  </rv>
  <rv s="0">
    <v>536870912</v>
    <v>Piedmont</v>
    <v>1a1b261b-a6b1-8503-5262-e2f707fe58ce</v>
    <v>en-GB</v>
    <v>Map</v>
  </rv>
  <rv s="0">
    <v>536870912</v>
    <v>Marche</v>
    <v>262ac8bf-0bbd-ba85-aef3-2130493eaa9b</v>
    <v>en-GB</v>
    <v>Map</v>
  </rv>
  <rv s="0">
    <v>536870912</v>
    <v>Sardinia</v>
    <v>2ac543b8-3c5f-c1c2-9c26-7153eb61c3d0</v>
    <v>en-GB</v>
    <v>Map</v>
  </rv>
  <rv s="0">
    <v>536870912</v>
    <v>Lombardy</v>
    <v>4e4d95c0-6e91-acd2-e10c-7165bc365e22</v>
    <v>en-GB</v>
    <v>Map</v>
  </rv>
  <rv s="0">
    <v>536870912</v>
    <v>Sicily</v>
    <v>610fbc95-e594-a116-6d30-36286446a003</v>
    <v>en-GB</v>
    <v>Map</v>
  </rv>
  <rv s="0">
    <v>536870912</v>
    <v>Veneto</v>
    <v>6809e680-9adc-134d-ebe9-70b79f5adb5f</v>
    <v>en-GB</v>
    <v>Map</v>
  </rv>
  <rv s="0">
    <v>536870912</v>
    <v>Abruzzo</v>
    <v>6d07734f-0734-da73-bda9-a2e9e44c1042</v>
    <v>en-GB</v>
    <v>Map</v>
  </rv>
  <rv s="0">
    <v>536870912</v>
    <v>Calabria</v>
    <v>87d05176-c03a-c209-fa72-dfafed738418</v>
    <v>en-GB</v>
    <v>Map</v>
  </rv>
  <rv s="0">
    <v>536870912</v>
    <v>Campania</v>
    <v>9933ef2b-24f2-a29d-6e4f-fe6bffe78694</v>
    <v>en-GB</v>
    <v>Map</v>
  </rv>
  <rv s="0">
    <v>536870912</v>
    <v>Umbria</v>
    <v>a75c12d3-c6a9-ea7c-e844-577d1cfe72dd</v>
    <v>en-GB</v>
    <v>Map</v>
  </rv>
  <rv s="0">
    <v>536870912</v>
    <v>Tuscany</v>
    <v>a8854f08-da35-486d-5bd1-760f4eeb3da0</v>
    <v>en-GB</v>
    <v>Map</v>
  </rv>
  <rv s="0">
    <v>536870912</v>
    <v>Trentino-Alto Adige/Südtirol</v>
    <v>b537e28d-6f0c-d8cf-1384-534def0737dd</v>
    <v>en-GB</v>
    <v>Map</v>
  </rv>
  <rv s="0">
    <v>536870912</v>
    <v>Liguria</v>
    <v>bc9d0bc0-7501-9ea0-5ffc-8d29df64f153</v>
    <v>en-GB</v>
    <v>Map</v>
  </rv>
  <rv s="0">
    <v>536870912</v>
    <v>Basilicata</v>
    <v>c286f639-68f8-3ed2-0119-87142c109b42</v>
    <v>en-GB</v>
    <v>Map</v>
  </rv>
  <rv s="0">
    <v>536870912</v>
    <v>Aosta Valley</v>
    <v>d9b216c7-5de6-eaf4-2383-5f7fc3075fdb</v>
    <v>en-GB</v>
    <v>Map</v>
  </rv>
  <rv s="0">
    <v>536870912</v>
    <v>Friuli Venezia Giulia</v>
    <v>dfe11af7-836d-40cf-b176-995500a2a2fb</v>
    <v>en-GB</v>
    <v>Map</v>
  </rv>
  <rv s="0">
    <v>536870912</v>
    <v>Lazio</v>
    <v>e5d48b4e-72f5-da43-7854-da4784df7b51</v>
    <v>en-GB</v>
    <v>Map</v>
  </rv>
  <rv s="3">
    <v>48</v>
  </rv>
  <rv s="1">
    <fb>0.24250464933068097</fb>
    <v>24</v>
  </rv>
  <rv s="1">
    <fb>0.59099999999999997</fb>
    <v>24</v>
  </rv>
  <rv s="1">
    <fb>9.8870000839233405E-2</fb>
    <v>33</v>
  </rv>
  <rv s="1">
    <fb>42651966</fb>
    <v>25</v>
  </rv>
  <rv s="5">
    <v>#VALUE!</v>
    <v>en-GB</v>
    <v>09e8f885-427b-8850-947d-202e0287b9e8</v>
    <v>536870912</v>
    <v>1</v>
    <v>109</v>
    <v>17</v>
    <v>Italy</v>
    <v>20</v>
    <v>21</v>
    <v>Map</v>
    <v>22</v>
    <v>110</v>
    <v>IT</v>
    <v>1059</v>
    <v>1060</v>
    <v>1061</v>
    <v>1062</v>
    <v>1063</v>
    <v>1064</v>
    <v>1065</v>
    <v>1066</v>
    <v>1067</v>
    <v>EUR</v>
    <v>Italy, officially the Italian Republic or the Republic of Italy, is a country in Southern and Western Europe. Located in the middle of the Mediterranean Sea, it consists of a peninsula delimited by the Alps and surrounded by several islands. Italy shares land borders with France, Switzerland, Austria, Slovenia and the enclaved microstates of Vatican City and San Marino. It has a territorial exclave in Switzerland, Campione, and some islands in the African Plate. Italy covers an area of 301,230 km², with a population of about 60 million; it is the third-most populous member state of the European Union, the sixth-most populous country in Europe, and the tenth-largest country in the continent by land area. Its capital and largest city is Rome.</v>
    <v>1068</v>
    <v>1069</v>
    <v>1070</v>
    <v>1071</v>
    <v>1072</v>
    <v>1073</v>
    <v>1074</v>
    <v>1075</v>
    <v>1076</v>
    <v>1077</v>
    <v>1064</v>
    <v>1080</v>
    <v>1081</v>
    <v>1082</v>
    <v>1083</v>
    <v>1084</v>
    <v>Italy</v>
    <v>Il canto degli italiani (Per Croce Rossa Italiana)</v>
    <v>1085</v>
    <v>Repubblica Italiana</v>
    <v>1086</v>
    <v>1087</v>
    <v>1088</v>
    <v>1089</v>
    <v>1090</v>
    <v>166</v>
    <v>1091</v>
    <v>1092</v>
    <v>1093</v>
    <v>372</v>
    <v>1094</v>
    <v>1115</v>
    <v>1116</v>
    <v>909</v>
    <v>1117</v>
    <v>1118</v>
    <v>Italy</v>
    <v>1119</v>
    <v>mdp/vdpid/118</v>
  </rv>
  <rv s="0">
    <v>536870912</v>
    <v>Estonia</v>
    <v>f0376b26-dffc-a05d-34b7-ffeabc3bf31b</v>
    <v>en-GB</v>
    <v>Map</v>
  </rv>
  <rv s="1">
    <fb>0.23073383942949199</fb>
    <v>24</v>
  </rv>
  <rv s="1">
    <fb>45339</fb>
    <v>25</v>
  </rv>
  <rv s="1">
    <fb>6000</fb>
    <v>25</v>
  </rv>
  <rv s="1">
    <fb>10.9</fb>
    <v>26</v>
  </rv>
  <rv s="1">
    <fb>372</fb>
    <v>27</v>
  </rv>
  <rv s="0">
    <v>536870912</v>
    <v>Tallinn</v>
    <v>1448d438-3d52-297f-67c5-9331c9a18778</v>
    <v>en-GB</v>
    <v>Map</v>
  </rv>
  <rv s="1">
    <fb>16589.508000000002</fb>
    <v>25</v>
  </rv>
  <rv s="1">
    <fb>122.14231282148999</fb>
    <v>28</v>
  </rv>
  <rv s="1">
    <fb>2.27725931243518E-2</fb>
    <v>24</v>
  </rv>
  <rv s="1">
    <fb>6732.3674731561096</fb>
    <v>25</v>
  </rv>
  <rv s="1">
    <fb>0.513365561917702</fb>
    <v>24</v>
  </rv>
  <rv s="1">
    <fb>13.0562153357344</fb>
    <v>29</v>
  </rv>
  <rv s="1">
    <fb>1.1399999999999999</fb>
    <v>30</v>
  </rv>
  <rv s="1">
    <fb>31386949981.236</fb>
    <v>31</v>
  </rv>
  <rv s="1">
    <fb>0.97230170000000005</fb>
    <v>24</v>
  </rv>
  <rv s="1">
    <fb>0.69635029999999998</fb>
    <v>24</v>
  </rv>
  <rv s="2">
    <v>14</v>
    <v>22</v>
    <v>118</v>
    <v>7</v>
    <v>0</v>
    <v>Image of Estonia</v>
  </rv>
  <rv s="1">
    <fb>2.1</fb>
    <v>29</v>
  </rv>
  <rv s="0">
    <v>805306368</v>
    <v>Alar Karis (President)</v>
    <v>251674b1-460d-4f40-d85e-31a525f034fa</v>
    <v>en-GB</v>
    <v>Generic</v>
  </rv>
  <rv s="0">
    <v>805306368</v>
    <v>Kaja Kallas (Prime minister)</v>
    <v>fc77b338-6404-472a-0f72-deb23d9c3575</v>
    <v>en-GB</v>
    <v>Generic</v>
  </rv>
  <rv s="3">
    <v>49</v>
  </rv>
  <rv s="4">
    <v>https://www.bing.com/search?q=estonia&amp;form=skydnc</v>
    <v>Learn more on Bing</v>
  </rv>
  <rv s="1">
    <fb>78.243902439024396</fb>
    <v>29</v>
  </rv>
  <rv s="1">
    <fb>9</fb>
    <v>29</v>
  </rv>
  <rv s="1">
    <fb>3.14</fb>
    <v>30</v>
  </rv>
  <rv s="3">
    <v>50</v>
  </rv>
  <rv s="1">
    <fb>0.22772006980000001</fb>
    <v>24</v>
  </rv>
  <rv s="1">
    <fb>4.4832999999999998</fb>
    <v>26</v>
  </rv>
  <rv s="1">
    <fb>1330932</fb>
    <v>25</v>
  </rv>
  <rv s="1">
    <fb>0.23699999999999999</fb>
    <v>24</v>
  </rv>
  <rv s="1">
    <fb>0.38400000000000001</fb>
    <v>24</v>
  </rv>
  <rv s="1">
    <fb>0.17</fb>
    <v>24</v>
  </rv>
  <rv s="1">
    <fb>0.63560001373290997</fb>
    <v>24</v>
  </rv>
  <rv s="0">
    <v>536870912</v>
    <v>Valga County</v>
    <v>047260a8-5172-08c2-e79b-c1e7a3af92f5</v>
    <v>en-GB</v>
    <v>Map</v>
  </rv>
  <rv s="0">
    <v>536870912</v>
    <v>Lääne-Viru County</v>
    <v>10d22dab-77a4-3f43-cc0f-f83d19e135a1</v>
    <v>en-GB</v>
    <v>Map</v>
  </rv>
  <rv s="0">
    <v>536870912</v>
    <v>Pärnu County</v>
    <v>1a253dbb-6c2c-1b47-b861-898d0c9f2eab</v>
    <v>en-GB</v>
    <v>Map</v>
  </rv>
  <rv s="0">
    <v>536870912</v>
    <v>Harju County</v>
    <v>2a1d336d-1b4c-4335-a392-b90039c6c8fa</v>
    <v>en-GB</v>
    <v>Map</v>
  </rv>
  <rv s="0">
    <v>536870912</v>
    <v>Viljandi County</v>
    <v>311e5af3-3de1-11b4-f8c4-a831bbb9981f</v>
    <v>en-GB</v>
    <v>Map</v>
  </rv>
  <rv s="0">
    <v>536870912</v>
    <v>Võru County</v>
    <v>45ee177e-bcdf-d7f7-5bb0-50650c8501cd</v>
    <v>en-GB</v>
    <v>Map</v>
  </rv>
  <rv s="0">
    <v>536870912</v>
    <v>Rapla County</v>
    <v>5558401d-0270-4148-76a2-427cc456e7a6</v>
    <v>en-GB</v>
    <v>Map</v>
  </rv>
  <rv s="0">
    <v>536870912</v>
    <v>Hiiu County</v>
    <v>a63657c7-4c2f-dc2c-682c-a06b44680e7d</v>
    <v>en-GB</v>
    <v>Map</v>
  </rv>
  <rv s="0">
    <v>536870912</v>
    <v>Jõgeva County</v>
    <v>b993b493-5f0b-e4b2-a04c-744fa8db72fd</v>
    <v>en-GB</v>
    <v>Map</v>
  </rv>
  <rv s="0">
    <v>536870912</v>
    <v>Saare County</v>
    <v>c392c03e-8580-f106-7afd-cbd448ed8908</v>
    <v>en-GB</v>
    <v>Map</v>
  </rv>
  <rv s="0">
    <v>536870912</v>
    <v>Tartu County</v>
    <v>dbbb421a-7ad6-3849-ad40-56c296bf0934</v>
    <v>en-GB</v>
    <v>Map</v>
  </rv>
  <rv s="0">
    <v>536870912</v>
    <v>Järva County</v>
    <v>e0f572f5-55d7-7ad7-0c19-7f07a1550540</v>
    <v>en-GB</v>
    <v>Map</v>
  </rv>
  <rv s="0">
    <v>536870912</v>
    <v>Ida-Viru County</v>
    <v>f8750387-e5f1-ce49-0018-9e85739082a1</v>
    <v>en-GB</v>
    <v>Map</v>
  </rv>
  <rv s="3">
    <v>51</v>
  </rv>
  <rv s="1">
    <fb>0.20875750801183598</fb>
    <v>24</v>
  </rv>
  <rv s="3">
    <v>52</v>
  </rv>
  <rv s="1">
    <fb>0.47799999999999998</fb>
    <v>24</v>
  </rv>
  <rv s="1">
    <fb>5.1149997711181595E-2</fb>
    <v>33</v>
  </rv>
  <rv s="1">
    <fb>916024</fb>
    <v>25</v>
  </rv>
  <rv s="7">
    <v>#VALUE!</v>
    <v>en-GB</v>
    <v>f0376b26-dffc-a05d-34b7-ffeabc3bf31b</v>
    <v>536870912</v>
    <v>1</v>
    <v>115</v>
    <v>116</v>
    <v>Estonia</v>
    <v>20</v>
    <v>21</v>
    <v>Map</v>
    <v>22</v>
    <v>117</v>
    <v>EE</v>
    <v>1122</v>
    <v>1123</v>
    <v>1124</v>
    <v>1125</v>
    <v>1126</v>
    <v>1127</v>
    <v>1128</v>
    <v>1129</v>
    <v>1130</v>
    <v>EEK</v>
    <v>Estonia, officially the Republic of Estonia, is a country by the Baltic Sea in Northern Europe. It is bordered to the north by the Gulf of Finland across from Finland, to the west by the sea across from Sweden, to the south by Latvia, and to the east by Lake Peipus and Russia. The territory of Estonia consists of the mainland, the larger islands of Saaremaa and Hiiumaa, and over 2,200 other islands and islets on the eastern coast of the Baltic Sea, covering a total area of 45,339 square kilometres. The capital city Tallinn and Tartu are the two largest urban areas of the country. The Estonian language is the indigenous and the official language of Estonia; it is the first language of the majority of its population, as well as the world's second most spoken Finnic language.</v>
    <v>1131</v>
    <v>83</v>
    <v>1132</v>
    <v>1133</v>
    <v>1134</v>
    <v>1135</v>
    <v>1136</v>
    <v>1137</v>
    <v>1138</v>
    <v>1139</v>
    <v>1127</v>
    <v>1142</v>
    <v>1143</v>
    <v>1144</v>
    <v>1145</v>
    <v>1146</v>
    <v>Estonia</v>
    <v>Mu isamaa, mu õnn ja rõõm</v>
    <v>1147</v>
    <v>Eesti Vabariik</v>
    <v>1148</v>
    <v>1149</v>
    <v>1150</v>
    <v>1151</v>
    <v>164</v>
    <v>1152</v>
    <v>819</v>
    <v>370</v>
    <v>948</v>
    <v>1153</v>
    <v>1154</v>
    <v>1168</v>
    <v>1169</v>
    <v>1170</v>
    <v>1171</v>
    <v>1172</v>
    <v>Estonia</v>
    <v>1173</v>
    <v>mdp/vdpid/70</v>
  </rv>
</rvData>
</file>

<file path=xl/richData/rdrichvaluestructure.xml><?xml version="1.0" encoding="utf-8"?>
<rvStructures xmlns="http://schemas.microsoft.com/office/spreadsheetml/2017/richdata" count="8">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rvStructures>
</file>

<file path=xl/richData/rdsupportingpropertybag.xml><?xml version="1.0" encoding="utf-8"?>
<supportingPropertyBags xmlns="http://schemas.microsoft.com/office/spreadsheetml/2017/richdata2">
  <spbArrays count="3">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spbArrays>
  <spbData count="119">
    <spb s="0">
      <v xml:space="preserve">data.worldbank.org	</v>
      <v xml:space="preserve">	</v>
      <v xml:space="preserve">http://data.worldbank.org/indicator/FP.CPI.TOTL	</v>
      <v xml:space="preserve">	</v>
    </spb>
    <spb s="0">
      <v xml:space="preserve">Wikipedia	Cia	travel.state.gov	</v>
      <v xml:space="preserve">CC-BY-SA			</v>
      <v xml:space="preserve">http://en.wikipedia.org/wiki/Switzerland	https://www.cia.gov/library/publications/the-world-factbook/geos/sz.html?Transportation	https://travel.state.gov/content/travel/en/international-travel/International-Travel-Country-Information-Pages/Switzerland.html.html	</v>
      <v xml:space="preserve">http://creativecommons.org/licenses/by-sa/3.0/			</v>
    </spb>
    <spb s="0">
      <v xml:space="preserve">	</v>
      <v xml:space="preserve">	</v>
      <v xml:space="preserve">https://en.wikipedia.org	</v>
      <v xml:space="preserve">https://creativecommons.org/licenses/by-sa/3.0	</v>
    </spb>
    <spb s="0">
      <v xml:space="preserve">data.worldbank.org	</v>
      <v xml:space="preserve">	</v>
      <v xml:space="preserve">http://data.worldbank.org/indicator/SP.DYN.CBRT.IN	</v>
      <v xml:space="preserve">	</v>
    </spb>
    <spb s="0">
      <v xml:space="preserve">Wikipedia	</v>
      <v xml:space="preserve">CC-BY-SA	</v>
      <v xml:space="preserve">http://en.wikipedia.org/wiki/Switzerland	</v>
      <v xml:space="preserve">http://creativecommons.org/licenses/by-sa/3.0/	</v>
    </spb>
    <spb s="0">
      <v xml:space="preserve">Cia	</v>
      <v xml:space="preserve">	</v>
      <v xml:space="preserve">https://www.cia.gov/library/publications/the-world-factbook/geos/sz.html?Transportation	</v>
      <v xml:space="preserve">	</v>
    </spb>
    <spb s="0">
      <v xml:space="preserve">data.worldbank.org	</v>
      <v xml:space="preserve">	</v>
      <v xml:space="preserve">http://data.worldbank.org/indicator/SP.DYN.TFRT.IN	</v>
      <v xml:space="preserve">	</v>
    </spb>
    <spb s="0">
      <v xml:space="preserve">data.worldbank.org	</v>
      <v xml:space="preserve">	</v>
      <v xml:space="preserve">http://data.worldbank.org/indicator/SP.DYN.LE00.IN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http://data.worldbank.org/indicator/SL.TLF.CACT.ZS	</v>
      <v xml:space="preserve">	</v>
    </spb>
    <spb s="1">
      <v>0</v>
      <v>1</v>
      <v>2</v>
      <v>2</v>
      <v>3</v>
      <v>2</v>
      <v>2</v>
      <v>2</v>
      <v>4</v>
      <v>2</v>
      <v>2</v>
      <v>2</v>
      <v>2</v>
      <v>5</v>
      <v>6</v>
      <v>1</v>
      <v>5</v>
      <v>7</v>
      <v>2</v>
      <v>5</v>
      <v>8</v>
      <v>9</v>
      <v>10</v>
      <v>5</v>
      <v>5</v>
      <v>2</v>
      <v>5</v>
      <v>11</v>
      <v>12</v>
      <v>13</v>
      <v>14</v>
      <v>5</v>
      <v>1</v>
      <v>5</v>
      <v>5</v>
      <v>5</v>
      <v>5</v>
      <v>5</v>
      <v>5</v>
      <v>5</v>
      <v>5</v>
      <v>5</v>
      <v>5</v>
      <v>15</v>
    </spb>
    <spb s="2">
      <v>0</v>
      <v>Name</v>
      <v>LearnMoreOnLink</v>
    </spb>
    <spb s="3">
      <v>0</v>
      <v>0</v>
      <v>0</v>
    </spb>
    <spb s="4">
      <v>0</v>
      <v>0</v>
    </spb>
    <spb s="5">
      <v>18</v>
      <v>18</v>
      <v>19</v>
      <v>18</v>
    </spb>
    <spb s="6">
      <v>1</v>
      <v>2</v>
      <v>3</v>
    </spb>
    <spb s="7">
      <v>https://www.bing.com</v>
      <v>https://www.bing.com/th?id=Ga%5Cbing_yt.png&amp;w=100&amp;h=40&amp;c=0&amp;pid=0.1</v>
      <v>Powered by Bing</v>
    </spb>
    <spb s="8">
      <v>2019</v>
      <v>2019</v>
      <v>square km</v>
      <v>per thousand (2018)</v>
      <v>2021</v>
      <v>2019</v>
      <v>2018</v>
      <v>per liter (2016)</v>
      <v>2019</v>
      <v>years (2018)</v>
      <v>2018</v>
      <v>per thousand (2018)</v>
      <v>2019</v>
      <v>2017</v>
      <v>2016</v>
      <v>2019</v>
      <v>2016</v>
      <v>2017</v>
      <v>kilotons per year (2016)</v>
      <v>deaths per 100,000 (2017)</v>
      <v>kWh (2014)</v>
      <v>2015</v>
      <v>2019</v>
      <v>2017</v>
      <v>2017</v>
      <v>2017</v>
      <v>2017</v>
      <v>2017</v>
      <v>2015</v>
      <v>2017</v>
      <v>2017</v>
      <v>2017</v>
      <v>2017</v>
      <v>2019</v>
    </spb>
    <spb s="9">
      <v>4</v>
    </spb>
    <spb s="9">
      <v>5</v>
    </spb>
    <spb s="9">
      <v>6</v>
    </spb>
    <spb s="9">
      <v>7</v>
    </spb>
    <spb s="9">
      <v>8</v>
    </spb>
    <spb s="9">
      <v>9</v>
    </spb>
    <spb s="9">
      <v>10</v>
    </spb>
    <spb s="9">
      <v>11</v>
    </spb>
    <spb s="0">
      <v xml:space="preserve">	</v>
      <v xml:space="preserve">	</v>
      <v xml:space="preserve">https://en.wikipedia.org/wiki/Switzerland	</v>
      <v xml:space="preserve">https://creativecommons.org/licenses/by-sa/3.0	</v>
    </spb>
    <spb s="9">
      <v>12</v>
    </spb>
    <spb s="0">
      <v xml:space="preserve">Wikipedia	Cia	travel.state.gov	</v>
      <v xml:space="preserve">CC-BY-SA			</v>
      <v xml:space="preserve">http://en.wikipedia.org/wiki/Netherlands	https://www.cia.gov/library/publications/the-world-factbook/geos/nl.html?Transportation	https://travel.state.gov/content/travel/en/international-travel/International-Travel-Country-Information-Pages/Netherlands.html	</v>
      <v xml:space="preserve">http://creativecommons.org/licenses/by-sa/3.0/			</v>
    </spb>
    <spb s="0">
      <v xml:space="preserve">Wikipedia	</v>
      <v xml:space="preserve">CC-BY-SA	</v>
      <v xml:space="preserve">http://en.wikipedia.org/wiki/Netherlands	</v>
      <v xml:space="preserve">http://creativecommons.org/licenses/by-sa/3.0/	</v>
    </spb>
    <spb s="0">
      <v xml:space="preserve">Cia	</v>
      <v xml:space="preserve">	</v>
      <v xml:space="preserve">https://www.cia.gov/library/publications/the-world-factbook/geos/nl.html?Transportation	</v>
      <v xml:space="preserve">	</v>
    </spb>
    <spb s="10">
      <v>0</v>
      <v>34</v>
      <v>2</v>
      <v>2</v>
      <v>3</v>
      <v>2</v>
      <v>2</v>
      <v>2</v>
      <v>35</v>
      <v>2</v>
      <v>2</v>
      <v>35</v>
      <v>2</v>
      <v>2</v>
      <v>36</v>
      <v>6</v>
      <v>34</v>
      <v>36</v>
      <v>7</v>
      <v>2</v>
      <v>36</v>
      <v>8</v>
      <v>9</v>
      <v>10</v>
      <v>36</v>
      <v>36</v>
      <v>2</v>
      <v>36</v>
      <v>11</v>
      <v>12</v>
      <v>13</v>
      <v>14</v>
      <v>36</v>
      <v>34</v>
      <v>36</v>
      <v>36</v>
      <v>36</v>
      <v>36</v>
      <v>36</v>
      <v>36</v>
      <v>36</v>
      <v>36</v>
      <v>36</v>
      <v>36</v>
      <v>15</v>
    </spb>
    <spb s="2">
      <v>1</v>
      <v>Name</v>
      <v>LearnMoreOnLink</v>
    </spb>
    <spb s="8">
      <v>2019</v>
      <v>2019</v>
      <v>square km</v>
      <v>per thousand (2018)</v>
      <v>2022</v>
      <v>2019</v>
      <v>2018</v>
      <v>per liter (2016)</v>
      <v>2019</v>
      <v>years (2018)</v>
      <v>2018</v>
      <v>per thousand (2018)</v>
      <v>2019</v>
      <v>2017</v>
      <v>2016</v>
      <v>2019</v>
      <v>2016</v>
      <v>2017</v>
      <v>kilotons per year (2016)</v>
      <v>deaths per 100,000 (2017)</v>
      <v>kWh (2014)</v>
      <v>2015</v>
      <v>2017</v>
      <v>2017</v>
      <v>2017</v>
      <v>2017</v>
      <v>2017</v>
      <v>2017</v>
      <v>2015</v>
      <v>2017</v>
      <v>2017</v>
      <v>2017</v>
      <v>2017</v>
      <v>2019</v>
    </spb>
    <spb s="0">
      <v xml:space="preserve">	</v>
      <v xml:space="preserve">	</v>
      <v xml:space="preserve">https://en.wikipedia.org/wiki/Netherlands	</v>
      <v xml:space="preserve">https://creativecommons.org/licenses/by-sa/3.0	</v>
    </spb>
    <spb s="0">
      <v xml:space="preserve">Wikipedia	Cia	travel.state.gov	</v>
      <v xml:space="preserve">CC-BY-SA			</v>
      <v xml:space="preserve">http://en.wikipedia.org/wiki/United_Kingdom	https://www.cia.gov/library/publications/the-world-factbook/geos/uk.html?Transportation	https://travel.state.gov/content/travel/en/international-travel/International-Travel-Country-Information-Pages/UnitedKingdom.html?wcmmode=disabled	</v>
      <v xml:space="preserve">http://creativecommons.org/licenses/by-sa/3.0/			</v>
    </spb>
    <spb s="0">
      <v xml:space="preserve">Wikipedia	</v>
      <v xml:space="preserve">CC-BY-SA	</v>
      <v xml:space="preserve">http://en.wikipedia.org/wiki/United_Kingdom	</v>
      <v xml:space="preserve">http://creativecommons.org/licenses/by-sa/3.0/	</v>
    </spb>
    <spb s="0">
      <v xml:space="preserve">Cia	</v>
      <v xml:space="preserve">	</v>
      <v xml:space="preserve">https://www.cia.gov/library/publications/the-world-factbook/geos/uk.html?Transportation	</v>
      <v xml:space="preserve">	</v>
    </spb>
    <spb s="10">
      <v>0</v>
      <v>41</v>
      <v>2</v>
      <v>2</v>
      <v>3</v>
      <v>2</v>
      <v>2</v>
      <v>2</v>
      <v>42</v>
      <v>2</v>
      <v>2</v>
      <v>42</v>
      <v>2</v>
      <v>2</v>
      <v>43</v>
      <v>6</v>
      <v>41</v>
      <v>43</v>
      <v>7</v>
      <v>2</v>
      <v>43</v>
      <v>8</v>
      <v>9</v>
      <v>10</v>
      <v>43</v>
      <v>43</v>
      <v>2</v>
      <v>43</v>
      <v>11</v>
      <v>12</v>
      <v>13</v>
      <v>14</v>
      <v>43</v>
      <v>41</v>
      <v>43</v>
      <v>43</v>
      <v>43</v>
      <v>43</v>
      <v>43</v>
      <v>43</v>
      <v>43</v>
      <v>43</v>
      <v>43</v>
      <v>43</v>
      <v>15</v>
    </spb>
    <spb s="8">
      <v>2019</v>
      <v>2019</v>
      <v>square km</v>
      <v>per thousand (2018)</v>
      <v>2021</v>
      <v>2019</v>
      <v>2018</v>
      <v>per liter (2016)</v>
      <v>2019</v>
      <v>years (2018)</v>
      <v>2018</v>
      <v>per thousand (2018)</v>
      <v>2019</v>
      <v>2017</v>
      <v>2016</v>
      <v>2019</v>
      <v>2016</v>
      <v>2018</v>
      <v>kilotons per year (2016)</v>
      <v>deaths per 100,000 (2017)</v>
      <v>kWh (2014)</v>
      <v>2015</v>
      <v>2008</v>
      <v>2016</v>
      <v>2016</v>
      <v>2016</v>
      <v>2016</v>
      <v>2016</v>
      <v>2015</v>
      <v>2016</v>
      <v>2016</v>
      <v>2017</v>
      <v>2017</v>
      <v>2019</v>
    </spb>
    <spb s="0">
      <v xml:space="preserve">	</v>
      <v xml:space="preserve">	</v>
      <v xml:space="preserve">https://en.wikipedia.org/wiki/United_Kingdom	</v>
      <v xml:space="preserve">https://creativecommons.org/licenses/by-sa/3.0	</v>
    </spb>
    <spb s="0">
      <v xml:space="preserve">Wikipedia	Cia	travel.state.gov	</v>
      <v xml:space="preserve">CC-BY-SA			</v>
      <v xml:space="preserve">http://en.wikipedia.org/wiki/Denmark	https://www.cia.gov/library/publications/the-world-factbook/geos/da.html?Transportation	https://travel.state.gov/content/travel/en/international-travel/International-Travel-Country-Information-Pages/Denmark.html	</v>
      <v xml:space="preserve">http://creativecommons.org/licenses/by-sa/3.0/			</v>
    </spb>
    <spb s="0">
      <v xml:space="preserve">Wikipedia	</v>
      <v xml:space="preserve">CC-BY-SA	</v>
      <v xml:space="preserve">http://en.wikipedia.org/wiki/Denmark	</v>
      <v xml:space="preserve">http://creativecommons.org/licenses/by-sa/3.0/	</v>
    </spb>
    <spb s="0">
      <v xml:space="preserve">Cia	</v>
      <v xml:space="preserve">	</v>
      <v xml:space="preserve">https://www.cia.gov/library/publications/the-world-factbook/geos/da.html?Transportation	</v>
      <v xml:space="preserve">	</v>
    </spb>
    <spb s="1">
      <v>0</v>
      <v>47</v>
      <v>2</v>
      <v>2</v>
      <v>3</v>
      <v>2</v>
      <v>2</v>
      <v>2</v>
      <v>48</v>
      <v>2</v>
      <v>2</v>
      <v>2</v>
      <v>2</v>
      <v>49</v>
      <v>6</v>
      <v>47</v>
      <v>49</v>
      <v>7</v>
      <v>2</v>
      <v>49</v>
      <v>8</v>
      <v>9</v>
      <v>10</v>
      <v>49</v>
      <v>49</v>
      <v>2</v>
      <v>49</v>
      <v>11</v>
      <v>12</v>
      <v>13</v>
      <v>14</v>
      <v>49</v>
      <v>47</v>
      <v>49</v>
      <v>49</v>
      <v>49</v>
      <v>49</v>
      <v>49</v>
      <v>49</v>
      <v>49</v>
      <v>49</v>
      <v>49</v>
      <v>49</v>
      <v>15</v>
    </spb>
    <spb s="8">
      <v>2019</v>
      <v>2019</v>
      <v>square km</v>
      <v>per thousand (2018)</v>
      <v>2020</v>
      <v>2019</v>
      <v>2018</v>
      <v>per liter (2016)</v>
      <v>2019</v>
      <v>years (2018)</v>
      <v>2018</v>
      <v>per thousand (2018)</v>
      <v>2019</v>
      <v>2017</v>
      <v>2016</v>
      <v>2019</v>
      <v>2016</v>
      <v>2016</v>
      <v>kilotons per year (2016)</v>
      <v>deaths per 100,000 (2017)</v>
      <v>kWh (2014)</v>
      <v>2015</v>
      <v>2004</v>
      <v>2017</v>
      <v>2017</v>
      <v>2017</v>
      <v>2017</v>
      <v>2017</v>
      <v>2015</v>
      <v>2017</v>
      <v>2017</v>
      <v>2017</v>
      <v>2017</v>
      <v>2019</v>
    </spb>
    <spb s="0">
      <v xml:space="preserve">	</v>
      <v xml:space="preserve">	</v>
      <v xml:space="preserve">https://en.wikipedia.org/wiki/Denmark	</v>
      <v xml:space="preserve">https://creativecommons.org/licenses/by-sa/3.0	</v>
    </spb>
    <spb s="0">
      <v xml:space="preserve">Wikipedia	US Census	US Census	</v>
      <v xml:space="preserve">CC-BY-SA			</v>
      <v xml:space="preserve">http://en.wikipedia.org/wiki/United_States	https://www.census.gov/popest/data/state/asrh/2014/files/SC-EST2014-AGESEX-CIV.csv	http://www.census.gov/quickfacts/table/VET605214/	</v>
      <v xml:space="preserve">http://creativecommons.org/licenses/by-sa/3.0/			</v>
    </spb>
    <spb s="0">
      <v xml:space="preserve">Wikipedia	</v>
      <v xml:space="preserve">CC-BY-SA	</v>
      <v xml:space="preserve">http://en.wikipedia.org/wiki/United_States	</v>
      <v xml:space="preserve">http://creativecommons.org/licenses/by-sa/3.0/	</v>
    </spb>
    <spb s="0">
      <v xml:space="preserve">US Census	</v>
      <v xml:space="preserve">	</v>
      <v xml:space="preserve">https://www.census.gov/popest/data/state/asrh/2014/files/SC-EST2014-AGESEX-CIV.csv	</v>
      <v xml:space="preserve">	</v>
    </spb>
    <spb s="11">
      <v>0</v>
      <v>53</v>
      <v>2</v>
      <v>2</v>
      <v>3</v>
      <v>2</v>
      <v>2</v>
      <v>2</v>
      <v>54</v>
      <v>2</v>
      <v>2</v>
      <v>54</v>
      <v>2</v>
      <v>2</v>
      <v>6</v>
      <v>53</v>
      <v>55</v>
      <v>7</v>
      <v>2</v>
      <v>55</v>
      <v>8</v>
      <v>9</v>
      <v>10</v>
      <v>55</v>
      <v>2</v>
      <v>55</v>
      <v>11</v>
      <v>12</v>
      <v>13</v>
      <v>14</v>
      <v>55</v>
      <v>53</v>
      <v>55</v>
      <v>55</v>
      <v>55</v>
      <v>55</v>
      <v>55</v>
      <v>55</v>
      <v>55</v>
      <v>55</v>
      <v>55</v>
      <v>55</v>
      <v>15</v>
    </spb>
    <spb s="8">
      <v>2019</v>
      <v>2019</v>
      <v>square km</v>
      <v>per thousand (2018)</v>
      <v>2021</v>
      <v>2022</v>
      <v>2018</v>
      <v>per liter (2016)</v>
      <v>2019</v>
      <v>years (2018)</v>
      <v>2019</v>
      <v>per thousand (2018)</v>
      <v>2019</v>
      <v>2017</v>
      <v>2016</v>
      <v>2020</v>
      <v>2016</v>
      <v>2017</v>
      <v>kilotons per year (2016)</v>
      <v>deaths per 100,000 (2017)</v>
      <v>kWh (2014)</v>
      <v>2015</v>
      <v>2018</v>
      <v>2016</v>
      <v>2016</v>
      <v>2016</v>
      <v>2016</v>
      <v>2016</v>
      <v>2015</v>
      <v>2016</v>
      <v>2016</v>
      <v>2017</v>
      <v>2017</v>
      <v>2019</v>
    </spb>
    <spb s="0">
      <v xml:space="preserve">	</v>
      <v xml:space="preserve">	</v>
      <v xml:space="preserve">https://en.wikipedia.org/wiki/United_States	</v>
      <v xml:space="preserve">https://creativecommons.org/licenses/by-sa/3.0	</v>
    </spb>
    <spb s="0">
      <v xml:space="preserve">Wikipedia	Cia	travel.state.gov	</v>
      <v xml:space="preserve">CC-BY-SA			</v>
      <v xml:space="preserve">http://en.wikipedia.org/wiki/France	https://www.cia.gov/library/publications/the-world-factbook/geos/fr.html?Transportation	https://travel.state.gov/content/travel/en/international-travel/International-Travel-Country-Information-Pages/Monaco.html	</v>
      <v xml:space="preserve">http://creativecommons.org/licenses/by-sa/3.0/			</v>
    </spb>
    <spb s="0">
      <v xml:space="preserve">Wikipedia	</v>
      <v xml:space="preserve">CC-BY-SA	</v>
      <v xml:space="preserve">http://en.wikipedia.org/wiki/France	</v>
      <v xml:space="preserve">http://creativecommons.org/licenses/by-sa/3.0/	</v>
    </spb>
    <spb s="0">
      <v xml:space="preserve">Cia	</v>
      <v xml:space="preserve">	</v>
      <v xml:space="preserve">https://www.cia.gov/library/publications/the-world-factbook/geos/fr.html?Transportation	</v>
      <v xml:space="preserve">	</v>
    </spb>
    <spb s="10">
      <v>0</v>
      <v>59</v>
      <v>2</v>
      <v>2</v>
      <v>3</v>
      <v>2</v>
      <v>2</v>
      <v>2</v>
      <v>60</v>
      <v>2</v>
      <v>2</v>
      <v>60</v>
      <v>2</v>
      <v>2</v>
      <v>61</v>
      <v>6</v>
      <v>59</v>
      <v>61</v>
      <v>7</v>
      <v>2</v>
      <v>61</v>
      <v>8</v>
      <v>9</v>
      <v>10</v>
      <v>61</v>
      <v>61</v>
      <v>2</v>
      <v>61</v>
      <v>11</v>
      <v>12</v>
      <v>13</v>
      <v>14</v>
      <v>61</v>
      <v>59</v>
      <v>61</v>
      <v>61</v>
      <v>61</v>
      <v>61</v>
      <v>61</v>
      <v>61</v>
      <v>61</v>
      <v>61</v>
      <v>61</v>
      <v>61</v>
      <v>15</v>
    </spb>
    <spb s="8">
      <v>2019</v>
      <v>2019</v>
      <v>square km</v>
      <v>per thousand (2018)</v>
      <v>2021</v>
      <v>2019</v>
      <v>2018</v>
      <v>per liter (2016)</v>
      <v>2019</v>
      <v>years (2018)</v>
      <v>2018</v>
      <v>per thousand (2018)</v>
      <v>2019</v>
      <v>2017</v>
      <v>2016</v>
      <v>2019</v>
      <v>2016</v>
      <v>2018</v>
      <v>kilotons per year (2014)</v>
      <v>deaths per 100,000 (2017)</v>
      <v>kWh (2014)</v>
      <v>2015</v>
      <v>2018</v>
      <v>2017</v>
      <v>2017</v>
      <v>2017</v>
      <v>2017</v>
      <v>2017</v>
      <v>2015</v>
      <v>2017</v>
      <v>2017</v>
      <v>2017</v>
      <v>2017</v>
      <v>2019</v>
    </spb>
    <spb s="0">
      <v xml:space="preserve">	</v>
      <v xml:space="preserve">	</v>
      <v xml:space="preserve">https://en.wikipedia.org/wiki/France	</v>
      <v xml:space="preserve">https://creativecommons.org/licenses/by-sa/3.0	</v>
    </spb>
    <spb s="0">
      <v xml:space="preserve">Wikipedia	Cia	travel.state.gov	</v>
      <v xml:space="preserve">CC-BY-SA			</v>
      <v xml:space="preserve">http://en.wikipedia.org/wiki/Slovenia	https://www.cia.gov/library/publications/the-world-factbook/geos/si.html?Transportation	https://travel.state.gov/content/travel/en/international-travel/International-Travel-Country-Information-Pages/Slovenia.html	</v>
      <v xml:space="preserve">http://creativecommons.org/licenses/by-sa/3.0/			</v>
    </spb>
    <spb s="0">
      <v xml:space="preserve">Wikipedia	</v>
      <v xml:space="preserve">CC-BY-SA	</v>
      <v xml:space="preserve">http://en.wikipedia.org/wiki/Slovenia	</v>
      <v xml:space="preserve">http://creativecommons.org/licenses/by-sa/3.0/	</v>
    </spb>
    <spb s="0">
      <v xml:space="preserve">Cia	</v>
      <v xml:space="preserve">	</v>
      <v xml:space="preserve">https://www.cia.gov/library/publications/the-world-factbook/geos/si.html?Transportation	</v>
      <v xml:space="preserve">	</v>
    </spb>
    <spb s="10">
      <v>0</v>
      <v>65</v>
      <v>2</v>
      <v>2</v>
      <v>3</v>
      <v>2</v>
      <v>2</v>
      <v>2</v>
      <v>66</v>
      <v>2</v>
      <v>2</v>
      <v>66</v>
      <v>2</v>
      <v>2</v>
      <v>67</v>
      <v>6</v>
      <v>65</v>
      <v>67</v>
      <v>7</v>
      <v>2</v>
      <v>67</v>
      <v>8</v>
      <v>9</v>
      <v>10</v>
      <v>67</v>
      <v>67</v>
      <v>2</v>
      <v>67</v>
      <v>11</v>
      <v>12</v>
      <v>13</v>
      <v>14</v>
      <v>67</v>
      <v>65</v>
      <v>67</v>
      <v>67</v>
      <v>67</v>
      <v>67</v>
      <v>67</v>
      <v>67</v>
      <v>67</v>
      <v>67</v>
      <v>67</v>
      <v>67</v>
      <v>15</v>
    </spb>
    <spb s="8">
      <v>2019</v>
      <v>2019</v>
      <v>square km</v>
      <v>per thousand (2018)</v>
      <v>2022</v>
      <v>2019</v>
      <v>2018</v>
      <v>per liter (2016)</v>
      <v>2019</v>
      <v>years (2018)</v>
      <v>2018</v>
      <v>per thousand (2018)</v>
      <v>2019</v>
      <v>2017</v>
      <v>2016</v>
      <v>2019</v>
      <v>2016</v>
      <v>2017</v>
      <v>kilotons per year (2016)</v>
      <v>deaths per 100,000 (2017)</v>
      <v>kWh (2014)</v>
      <v>2015</v>
      <v>2019</v>
      <v>2017</v>
      <v>2017</v>
      <v>2017</v>
      <v>2017</v>
      <v>2017</v>
      <v>2015</v>
      <v>2017</v>
      <v>2017</v>
      <v>2017</v>
      <v>2017</v>
      <v>2019</v>
    </spb>
    <spb s="0">
      <v xml:space="preserve">	</v>
      <v xml:space="preserve">	</v>
      <v xml:space="preserve">https://en.wikipedia.org/wiki/Slovenia	</v>
      <v xml:space="preserve">https://creativecommons.org/licenses/by-sa/3.0	</v>
    </spb>
    <spb s="0">
      <v xml:space="preserve">Wikipedia	Cia	travel.state.gov	</v>
      <v xml:space="preserve">CC-BY-SA			</v>
      <v xml:space="preserve">http://en.wikipedia.org/wiki/Australia	https://www.cia.gov/library/publications/the-world-factbook/geos/as.html?Transportation	https://travel.state.gov/content/travel/en/international-travel/International-Travel-Country-Information-Pages/Australia.html	</v>
      <v xml:space="preserve">http://creativecommons.org/licenses/by-sa/3.0/			</v>
    </spb>
    <spb s="0">
      <v xml:space="preserve">Wikipedia	</v>
      <v xml:space="preserve">CC-BY-SA	</v>
      <v xml:space="preserve">http://en.wikipedia.org/wiki/Australia	</v>
      <v xml:space="preserve">http://creativecommons.org/licenses/by-sa/3.0/	</v>
    </spb>
    <spb s="0">
      <v xml:space="preserve">Cia	</v>
      <v xml:space="preserve">	</v>
      <v xml:space="preserve">https://www.cia.gov/library/publications/the-world-factbook/geos/as.html?Transportation	</v>
      <v xml:space="preserve">	</v>
    </spb>
    <spb s="10">
      <v>0</v>
      <v>71</v>
      <v>2</v>
      <v>2</v>
      <v>3</v>
      <v>2</v>
      <v>2</v>
      <v>2</v>
      <v>72</v>
      <v>2</v>
      <v>2</v>
      <v>72</v>
      <v>2</v>
      <v>2</v>
      <v>73</v>
      <v>6</v>
      <v>71</v>
      <v>73</v>
      <v>7</v>
      <v>2</v>
      <v>73</v>
      <v>8</v>
      <v>9</v>
      <v>10</v>
      <v>73</v>
      <v>73</v>
      <v>2</v>
      <v>73</v>
      <v>11</v>
      <v>12</v>
      <v>13</v>
      <v>14</v>
      <v>73</v>
      <v>71</v>
      <v>73</v>
      <v>73</v>
      <v>73</v>
      <v>73</v>
      <v>73</v>
      <v>73</v>
      <v>73</v>
      <v>73</v>
      <v>73</v>
      <v>73</v>
      <v>15</v>
    </spb>
    <spb s="8">
      <v>2019</v>
      <v>2019</v>
      <v>square km</v>
      <v>per thousand (2018)</v>
      <v>2021</v>
      <v>2019</v>
      <v>2018</v>
      <v>per liter (2016)</v>
      <v>2019</v>
      <v>years (2018)</v>
      <v>2018</v>
      <v>per thousand (2018)</v>
      <v>2019</v>
      <v>2017</v>
      <v>2016</v>
      <v>2019</v>
      <v>2016</v>
      <v>2017</v>
      <v>kilotons per year (2016)</v>
      <v>deaths per 100,000 (2017)</v>
      <v>kWh (2014)</v>
      <v>2015</v>
      <v>2019</v>
      <v>2014</v>
      <v>2014</v>
      <v>2014</v>
      <v>2014</v>
      <v>2014</v>
      <v>2014</v>
      <v>2014</v>
      <v>2014</v>
      <v>2017</v>
      <v>2017</v>
      <v>2019</v>
    </spb>
    <spb s="0">
      <v xml:space="preserve">	</v>
      <v xml:space="preserve">	</v>
      <v xml:space="preserve">https://en.wikipedia.org/wiki/Australia	</v>
      <v xml:space="preserve">https://creativecommons.org/licenses/by-sa/3.0	</v>
    </spb>
    <spb s="0">
      <v xml:space="preserve">Wikipedia	Cia	travel.state.gov	</v>
      <v xml:space="preserve">CC-BY-SA			</v>
      <v xml:space="preserve">http://en.wikipedia.org/wiki/Belgium	https://www.cia.gov/library/publications/the-world-factbook/geos/be.html?Transportation	https://travel.state.gov/content/travel/en/international-travel/International-Travel-Country-Information-Pages/Belgium.html	</v>
      <v xml:space="preserve">http://creativecommons.org/licenses/by-sa/3.0/			</v>
    </spb>
    <spb s="0">
      <v xml:space="preserve">Wikipedia	</v>
      <v xml:space="preserve">CC-BY-SA	</v>
      <v xml:space="preserve">http://en.wikipedia.org/wiki/Belgium	</v>
      <v xml:space="preserve">http://creativecommons.org/licenses/by-sa/3.0/	</v>
    </spb>
    <spb s="0">
      <v xml:space="preserve">Cia	</v>
      <v xml:space="preserve">	</v>
      <v xml:space="preserve">https://www.cia.gov/library/publications/the-world-factbook/geos/be.html?Transportation	</v>
      <v xml:space="preserve">	</v>
    </spb>
    <spb s="10">
      <v>0</v>
      <v>77</v>
      <v>2</v>
      <v>2</v>
      <v>3</v>
      <v>2</v>
      <v>2</v>
      <v>2</v>
      <v>78</v>
      <v>2</v>
      <v>2</v>
      <v>78</v>
      <v>2</v>
      <v>2</v>
      <v>79</v>
      <v>6</v>
      <v>77</v>
      <v>79</v>
      <v>7</v>
      <v>2</v>
      <v>79</v>
      <v>8</v>
      <v>9</v>
      <v>10</v>
      <v>79</v>
      <v>79</v>
      <v>2</v>
      <v>79</v>
      <v>11</v>
      <v>12</v>
      <v>13</v>
      <v>14</v>
      <v>79</v>
      <v>77</v>
      <v>79</v>
      <v>79</v>
      <v>79</v>
      <v>79</v>
      <v>79</v>
      <v>79</v>
      <v>79</v>
      <v>79</v>
      <v>79</v>
      <v>79</v>
      <v>15</v>
    </spb>
    <spb s="8">
      <v>2019</v>
      <v>2019</v>
      <v>square km</v>
      <v>per thousand (2018)</v>
      <v>2021</v>
      <v>2019</v>
      <v>2018</v>
      <v>per liter (2016)</v>
      <v>2019</v>
      <v>years (2018)</v>
      <v>2018</v>
      <v>per thousand (2018)</v>
      <v>2019</v>
      <v>2017</v>
      <v>2016</v>
      <v>2019</v>
      <v>2016</v>
      <v>2017</v>
      <v>kilotons per year (2016)</v>
      <v>deaths per 100,000 (2017)</v>
      <v>kWh (2014)</v>
      <v>2015</v>
      <v>2018</v>
      <v>2017</v>
      <v>2017</v>
      <v>2017</v>
      <v>2017</v>
      <v>2017</v>
      <v>2015</v>
      <v>2017</v>
      <v>2017</v>
      <v>2017</v>
      <v>2017</v>
      <v>2019</v>
    </spb>
    <spb s="0">
      <v xml:space="preserve">	</v>
      <v xml:space="preserve">	</v>
      <v xml:space="preserve">https://en.wikipedia.org/wiki/Belgium	</v>
      <v xml:space="preserve">https://creativecommons.org/licenses/by-sa/3.0	</v>
    </spb>
    <spb s="0">
      <v xml:space="preserve">Wikipedia	Cia	travel.state.gov	</v>
      <v xml:space="preserve">CC-BY-SA			</v>
      <v xml:space="preserve">http://en.wikipedia.org/wiki/Sweden	https://www.cia.gov/library/publications/the-world-factbook/geos/sw.html?Transportation	https://travel.state.gov/content/travel/en/international-travel/International-Travel-Country-Information-Pages/Sweden.html	</v>
      <v xml:space="preserve">http://creativecommons.org/licenses/by-sa/3.0/			</v>
    </spb>
    <spb s="0">
      <v xml:space="preserve">Wikipedia	</v>
      <v xml:space="preserve">CC-BY-SA	</v>
      <v xml:space="preserve">http://en.wikipedia.org/wiki/Sweden	</v>
      <v xml:space="preserve">http://creativecommons.org/licenses/by-sa/3.0/	</v>
    </spb>
    <spb s="0">
      <v xml:space="preserve">Cia	</v>
      <v xml:space="preserve">	</v>
      <v xml:space="preserve">https://www.cia.gov/library/publications/the-world-factbook/geos/sw.html?Transportation	</v>
      <v xml:space="preserve">	</v>
    </spb>
    <spb s="1">
      <v>0</v>
      <v>83</v>
      <v>2</v>
      <v>2</v>
      <v>3</v>
      <v>2</v>
      <v>2</v>
      <v>2</v>
      <v>84</v>
      <v>2</v>
      <v>2</v>
      <v>2</v>
      <v>2</v>
      <v>85</v>
      <v>6</v>
      <v>83</v>
      <v>85</v>
      <v>7</v>
      <v>2</v>
      <v>85</v>
      <v>8</v>
      <v>9</v>
      <v>10</v>
      <v>85</v>
      <v>85</v>
      <v>2</v>
      <v>85</v>
      <v>11</v>
      <v>12</v>
      <v>13</v>
      <v>14</v>
      <v>85</v>
      <v>83</v>
      <v>85</v>
      <v>85</v>
      <v>85</v>
      <v>85</v>
      <v>85</v>
      <v>85</v>
      <v>85</v>
      <v>85</v>
      <v>85</v>
      <v>85</v>
      <v>15</v>
    </spb>
    <spb s="8">
      <v>2019</v>
      <v>2019</v>
      <v>square km</v>
      <v>per thousand (2018)</v>
      <v>2021</v>
      <v>2019</v>
      <v>2018</v>
      <v>per liter (2016)</v>
      <v>2019</v>
      <v>years (2018)</v>
      <v>2018</v>
      <v>per thousand (2018)</v>
      <v>2019</v>
      <v>2017</v>
      <v>2016</v>
      <v>2019</v>
      <v>2016</v>
      <v>2016</v>
      <v>kilotons per year (2016)</v>
      <v>deaths per 100,000 (2017)</v>
      <v>kWh (2014)</v>
      <v>2015</v>
      <v>2003</v>
      <v>2017</v>
      <v>2017</v>
      <v>2017</v>
      <v>2017</v>
      <v>2017</v>
      <v>2015</v>
      <v>2017</v>
      <v>2017</v>
      <v>2017</v>
      <v>2017</v>
      <v>2019</v>
    </spb>
    <spb s="0">
      <v xml:space="preserve">	</v>
      <v xml:space="preserve">	</v>
      <v xml:space="preserve">https://en.wikipedia.org/wiki/Sweden	</v>
      <v xml:space="preserve">https://creativecommons.org/licenses/by-sa/3.0	</v>
    </spb>
    <spb s="0">
      <v xml:space="preserve">Wikipedia	Cia	Facebook	</v>
      <v xml:space="preserve">CC-BY-SA			</v>
      <v xml:space="preserve">http://en.wikipedia.org/wiki/Spain	https://www.cia.gov/library/publications/the-world-factbook/geos/sp.html?Transportation	https://www.facebook.com/spain.info.no	</v>
      <v xml:space="preserve">http://creativecommons.org/licenses/by-sa/3.0/			</v>
    </spb>
    <spb s="0">
      <v xml:space="preserve">Wikipedia	</v>
      <v xml:space="preserve">CC-BY-SA	</v>
      <v xml:space="preserve">http://en.wikipedia.org/wiki/Spain	</v>
      <v xml:space="preserve">http://creativecommons.org/licenses/by-sa/3.0/	</v>
    </spb>
    <spb s="0">
      <v xml:space="preserve">Cia	</v>
      <v xml:space="preserve">	</v>
      <v xml:space="preserve">https://www.cia.gov/library/publications/the-world-factbook/geos/sp.html?Transportation	</v>
      <v xml:space="preserve">	</v>
    </spb>
    <spb s="10">
      <v>0</v>
      <v>89</v>
      <v>2</v>
      <v>2</v>
      <v>3</v>
      <v>2</v>
      <v>2</v>
      <v>2</v>
      <v>90</v>
      <v>2</v>
      <v>2</v>
      <v>90</v>
      <v>2</v>
      <v>2</v>
      <v>91</v>
      <v>6</v>
      <v>89</v>
      <v>91</v>
      <v>7</v>
      <v>2</v>
      <v>91</v>
      <v>8</v>
      <v>9</v>
      <v>10</v>
      <v>91</v>
      <v>91</v>
      <v>2</v>
      <v>91</v>
      <v>11</v>
      <v>12</v>
      <v>13</v>
      <v>14</v>
      <v>91</v>
      <v>89</v>
      <v>91</v>
      <v>91</v>
      <v>91</v>
      <v>91</v>
      <v>91</v>
      <v>91</v>
      <v>91</v>
      <v>91</v>
      <v>91</v>
      <v>91</v>
      <v>15</v>
    </spb>
    <spb s="0">
      <v xml:space="preserve">	</v>
      <v xml:space="preserve">	</v>
      <v xml:space="preserve">https://en.wikipedia.org/wiki/Spain	</v>
      <v xml:space="preserve">https://creativecommons.org/licenses/by-sa/3.0	</v>
    </spb>
    <spb s="0">
      <v xml:space="preserve">Wikipedia	Cia	travel.state.gov	</v>
      <v xml:space="preserve">CC-BY-SA			</v>
      <v xml:space="preserve">http://en.wikipedia.org/wiki/Japan	https://www.cia.gov/library/publications/the-world-factbook/geos/ja.html?Transportation	https://travel.state.gov/content/travel/en/international-travel/International-Travel-Country-Information-Pages/Japan.html	</v>
      <v xml:space="preserve">http://creativecommons.org/licenses/by-sa/3.0/			</v>
    </spb>
    <spb s="0">
      <v xml:space="preserve">Wikipedia	</v>
      <v xml:space="preserve">CC-BY-SA	</v>
      <v xml:space="preserve">http://en.wikipedia.org/wiki/Japan	</v>
      <v xml:space="preserve">http://creativecommons.org/licenses/by-sa/3.0/	</v>
    </spb>
    <spb s="0">
      <v xml:space="preserve">Cia	</v>
      <v xml:space="preserve">	</v>
      <v xml:space="preserve">https://www.cia.gov/library/publications/the-world-factbook/geos/ja.html?Transportation	</v>
      <v xml:space="preserve">	</v>
    </spb>
    <spb s="10">
      <v>0</v>
      <v>94</v>
      <v>2</v>
      <v>2</v>
      <v>3</v>
      <v>2</v>
      <v>2</v>
      <v>2</v>
      <v>95</v>
      <v>2</v>
      <v>2</v>
      <v>95</v>
      <v>2</v>
      <v>2</v>
      <v>96</v>
      <v>6</v>
      <v>94</v>
      <v>96</v>
      <v>7</v>
      <v>2</v>
      <v>96</v>
      <v>8</v>
      <v>9</v>
      <v>10</v>
      <v>96</v>
      <v>96</v>
      <v>2</v>
      <v>96</v>
      <v>11</v>
      <v>12</v>
      <v>13</v>
      <v>14</v>
      <v>96</v>
      <v>94</v>
      <v>96</v>
      <v>96</v>
      <v>96</v>
      <v>96</v>
      <v>96</v>
      <v>96</v>
      <v>96</v>
      <v>96</v>
      <v>96</v>
      <v>96</v>
      <v>15</v>
    </spb>
    <spb s="8">
      <v>2019</v>
      <v>2019</v>
      <v>square km</v>
      <v>per thousand (2018)</v>
      <v>2021</v>
      <v>2019</v>
      <v>2018</v>
      <v>per liter (2016)</v>
      <v>2019</v>
      <v>years (2018)</v>
      <v>2018</v>
      <v>per thousand (2018)</v>
      <v>2019</v>
      <v>2017</v>
      <v>2016</v>
      <v>2019</v>
      <v>2016</v>
      <v>2016</v>
      <v>kilotons per year (2016)</v>
      <v>deaths per 100,000 (2017)</v>
      <v>kWh (2014)</v>
      <v>2015</v>
      <v>2019</v>
      <v>2013</v>
      <v>2013</v>
      <v>2013</v>
      <v>2013</v>
      <v>2013</v>
      <v>2015</v>
      <v>2013</v>
      <v>2013</v>
      <v>2015</v>
      <v>2015</v>
      <v>2019</v>
    </spb>
    <spb s="0">
      <v xml:space="preserve">	</v>
      <v xml:space="preserve">	</v>
      <v xml:space="preserve">https://en.wikipedia.org/wiki/Japan	</v>
      <v xml:space="preserve">https://creativecommons.org/licenses/by-sa/3.0	</v>
    </spb>
    <spb s="0">
      <v xml:space="preserve">Wikipedia	Cia	travel.state.gov	</v>
      <v xml:space="preserve">CC-BY-SA			</v>
      <v xml:space="preserve">http://en.wikipedia.org/wiki/Germany	https://www.cia.gov/library/publications/the-world-factbook/geos/gm.html?Transportation	https://travel.state.gov/content/travel/en/international-travel/International-Travel-Country-Information-Pages/Germany.html	</v>
      <v xml:space="preserve">http://creativecommons.org/licenses/by-sa/3.0/			</v>
    </spb>
    <spb s="0">
      <v xml:space="preserve">Wikipedia	</v>
      <v xml:space="preserve">CC-BY-SA	</v>
      <v xml:space="preserve">http://en.wikipedia.org/wiki/Germany	</v>
      <v xml:space="preserve">http://creativecommons.org/licenses/by-sa/3.0/	</v>
    </spb>
    <spb s="0">
      <v xml:space="preserve">Cia	</v>
      <v xml:space="preserve">	</v>
      <v xml:space="preserve">https://www.cia.gov/library/publications/the-world-factbook/geos/gm.html?Transportation	</v>
      <v xml:space="preserve">	</v>
    </spb>
    <spb s="10">
      <v>0</v>
      <v>100</v>
      <v>2</v>
      <v>2</v>
      <v>3</v>
      <v>2</v>
      <v>2</v>
      <v>2</v>
      <v>101</v>
      <v>2</v>
      <v>2</v>
      <v>101</v>
      <v>2</v>
      <v>2</v>
      <v>102</v>
      <v>6</v>
      <v>100</v>
      <v>102</v>
      <v>7</v>
      <v>101</v>
      <v>102</v>
      <v>8</v>
      <v>9</v>
      <v>10</v>
      <v>102</v>
      <v>102</v>
      <v>2</v>
      <v>102</v>
      <v>11</v>
      <v>12</v>
      <v>13</v>
      <v>14</v>
      <v>102</v>
      <v>100</v>
      <v>102</v>
      <v>102</v>
      <v>102</v>
      <v>102</v>
      <v>102</v>
      <v>102</v>
      <v>102</v>
      <v>102</v>
      <v>102</v>
      <v>102</v>
      <v>15</v>
    </spb>
    <spb s="8">
      <v>2019</v>
      <v>2019</v>
      <v>square km</v>
      <v>per thousand (2018)</v>
      <v>2019</v>
      <v>2019</v>
      <v>2018</v>
      <v>per liter (2016)</v>
      <v>2019</v>
      <v>years (2018)</v>
      <v>2018</v>
      <v>per thousand (2018)</v>
      <v>2019</v>
      <v>2017</v>
      <v>2016</v>
      <v>2019</v>
      <v>2016</v>
      <v>2017</v>
      <v>kilotons per year (2016)</v>
      <v>deaths per 100,000 (2017)</v>
      <v>kWh (2014)</v>
      <v>2015</v>
      <v>2019</v>
      <v>2016</v>
      <v>2016</v>
      <v>2016</v>
      <v>2016</v>
      <v>2016</v>
      <v>2015</v>
      <v>2016</v>
      <v>2016</v>
      <v>2017</v>
      <v>2017</v>
      <v>2019</v>
    </spb>
    <spb s="0">
      <v xml:space="preserve">	</v>
      <v xml:space="preserve">	</v>
      <v xml:space="preserve">https://en.wikipedia.org/wiki/Germany	</v>
      <v xml:space="preserve">https://creativecommons.org/licenses/by-sa/3.0	</v>
    </spb>
    <spb s="0">
      <v xml:space="preserve">Wikipedia	Wikipedia	Cia	travel.state.gov	</v>
      <v xml:space="preserve">CC-BY-SA	CC-BY-SA			</v>
      <v xml:space="preserve">http://es.wikipedia.org/wiki/Italia	http://en.wikipedia.org/wiki/Italy	https://www.cia.gov/library/publications/the-world-factbook/geos/it.html?Transportation	https://travel.state.gov/content/travel/en/international-travel/International-Travel-Country-Information-Pages/SanMarino.html	</v>
      <v xml:space="preserve">http://creativecommons.org/licenses/by-sa/3.0/	http://creativecommons.org/licenses/by-sa/3.0/			</v>
    </spb>
    <spb s="0">
      <v xml:space="preserve">Wikipedia	</v>
      <v xml:space="preserve">CC-BY-SA	</v>
      <v xml:space="preserve">http://en.wikipedia.org/wiki/Italy	</v>
      <v xml:space="preserve">http://creativecommons.org/licenses/by-sa/3.0/	</v>
    </spb>
    <spb s="0">
      <v xml:space="preserve">Cia	</v>
      <v xml:space="preserve">	</v>
      <v xml:space="preserve">https://www.cia.gov/library/publications/the-world-factbook/geos/it.html?Transportation	</v>
      <v xml:space="preserve">	</v>
    </spb>
    <spb s="1">
      <v>0</v>
      <v>106</v>
      <v>2</v>
      <v>2</v>
      <v>3</v>
      <v>2</v>
      <v>2</v>
      <v>2</v>
      <v>107</v>
      <v>2</v>
      <v>2</v>
      <v>2</v>
      <v>2</v>
      <v>108</v>
      <v>6</v>
      <v>106</v>
      <v>108</v>
      <v>7</v>
      <v>2</v>
      <v>108</v>
      <v>8</v>
      <v>9</v>
      <v>10</v>
      <v>108</v>
      <v>108</v>
      <v>2</v>
      <v>108</v>
      <v>11</v>
      <v>12</v>
      <v>13</v>
      <v>14</v>
      <v>108</v>
      <v>106</v>
      <v>108</v>
      <v>108</v>
      <v>108</v>
      <v>108</v>
      <v>108</v>
      <v>108</v>
      <v>108</v>
      <v>108</v>
      <v>108</v>
      <v>108</v>
      <v>15</v>
    </spb>
    <spb s="8">
      <v>2019</v>
      <v>2019</v>
      <v>square km</v>
      <v>per thousand (2018)</v>
      <v>2021</v>
      <v>2019</v>
      <v>2018</v>
      <v>per liter (2016)</v>
      <v>2019</v>
      <v>years (2018)</v>
      <v>2018</v>
      <v>per thousand (2018)</v>
      <v>2019</v>
      <v>2017</v>
      <v>2016</v>
      <v>2019</v>
      <v>2016</v>
      <v>2018</v>
      <v>kilotons per year (2014)</v>
      <v>deaths per 100,000 (2017)</v>
      <v>kWh (2014)</v>
      <v>2015</v>
      <v>2008</v>
      <v>2017</v>
      <v>2017</v>
      <v>2017</v>
      <v>2017</v>
      <v>2017</v>
      <v>2015</v>
      <v>2017</v>
      <v>2017</v>
      <v>2017</v>
      <v>2017</v>
      <v>2019</v>
    </spb>
    <spb s="0">
      <v xml:space="preserve">	</v>
      <v xml:space="preserve">	</v>
      <v xml:space="preserve">https://en.wikipedia.org/wiki/Italy	</v>
      <v xml:space="preserve">https://creativecommons.org/licenses/by-sa/3.0	</v>
    </spb>
    <spb s="0">
      <v xml:space="preserve">Wikipedia	Cia	travel.state.gov	</v>
      <v xml:space="preserve">CC-BY-SA			</v>
      <v xml:space="preserve">http://en.wikipedia.org/wiki/Estonia	https://www.cia.gov/library/publications/the-world-factbook/geos/en.html?Transportation	https://travel.state.gov/content/travel/en/international-travel/International-Travel-Country-Information-Pages/Estonia.html	</v>
      <v xml:space="preserve">http://creativecommons.org/licenses/by-sa/3.0/			</v>
    </spb>
    <spb s="0">
      <v xml:space="preserve">Wikipedia	</v>
      <v xml:space="preserve">CC-BY-SA	</v>
      <v xml:space="preserve">http://en.wikipedia.org/wiki/Estonia	</v>
      <v xml:space="preserve">http://creativecommons.org/licenses/by-sa/3.0/	</v>
    </spb>
    <spb s="0">
      <v xml:space="preserve">Cia	</v>
      <v xml:space="preserve">	</v>
      <v xml:space="preserve">https://www.cia.gov/library/publications/the-world-factbook/geos/en.html?Transportation	</v>
      <v xml:space="preserve">	</v>
    </spb>
    <spb s="12">
      <v>0</v>
      <v>112</v>
      <v>2</v>
      <v>2</v>
      <v>3</v>
      <v>2</v>
      <v>2</v>
      <v>2</v>
      <v>113</v>
      <v>2</v>
      <v>2</v>
      <v>113</v>
      <v>2</v>
      <v>2</v>
      <v>114</v>
      <v>6</v>
      <v>112</v>
      <v>114</v>
      <v>7</v>
      <v>2</v>
      <v>114</v>
      <v>8</v>
      <v>9</v>
      <v>10</v>
      <v>114</v>
      <v>114</v>
      <v>2</v>
      <v>114</v>
      <v>11</v>
      <v>12</v>
      <v>13</v>
      <v>14</v>
      <v>114</v>
      <v>114</v>
      <v>114</v>
      <v>114</v>
      <v>114</v>
      <v>114</v>
      <v>114</v>
      <v>114</v>
      <v>114</v>
      <v>114</v>
      <v>114</v>
      <v>15</v>
    </spb>
    <spb s="2">
      <v>2</v>
      <v>Name</v>
      <v>LearnMoreOnLink</v>
    </spb>
    <spb s="13">
      <v>2019</v>
      <v>2019</v>
      <v>square km</v>
      <v>per thousand (2018)</v>
      <v>2021</v>
      <v>2019</v>
      <v>2018</v>
      <v>per liter (2016)</v>
      <v>2019</v>
      <v>years (2018)</v>
      <v>2018</v>
      <v>per thousand (2018)</v>
      <v>2019</v>
      <v>2017</v>
      <v>2016</v>
      <v>2019</v>
      <v>2016</v>
      <v>2018</v>
      <v>kilotons per year (2016)</v>
      <v>deaths per 100,000 (2017)</v>
      <v>kWh (2014)</v>
      <v>2015</v>
      <v>2017</v>
      <v>2017</v>
      <v>2017</v>
      <v>2017</v>
      <v>2017</v>
      <v>2015</v>
      <v>2017</v>
      <v>2017</v>
      <v>2017</v>
      <v>2017</v>
      <v>2019</v>
    </spb>
    <spb s="0">
      <v xml:space="preserve">	</v>
      <v xml:space="preserve">	</v>
      <v xml:space="preserve">https://en.wikipedia.org/wiki/Estonia	</v>
      <v xml:space="preserve">https://creativecommons.org/licenses/by-sa/3.0	</v>
    </spb>
  </spbData>
</supportingPropertyBags>
</file>

<file path=xl/richData/rdsupportingpropertybagstructure.xml><?xml version="1.0" encoding="utf-8"?>
<spbStructures xmlns="http://schemas.microsoft.com/office/spreadsheetml/2017/richdata2" count="14">
  <s>
    <k n="SourceText" t="s"/>
    <k n="LicenseText" t="s"/>
    <k n="SourceAddress" t="s"/>
    <k n="LicenseAddress"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Order" t="spba"/>
    <k n="TitleProperty" t="s"/>
    <k n="SubTitleProperty" t="s"/>
  </s>
  <s>
    <k n="ShowInCardView" t="b"/>
    <k n="ShowInDotNotation" t="b"/>
    <k n="ShowInAutoComplete" t="b"/>
  </s>
  <s>
    <k n="ShowInDotNotation" t="b"/>
    <k n="ShowInAutoComplete" t="b"/>
  </s>
  <s>
    <k n="UniqueName" t="spb"/>
    <k n="VDPID/VSID" t="spb"/>
    <k n="Description" t="spb"/>
    <k n="LearnMoreOnLink" t="spb"/>
  </s>
  <s>
    <k n="Name" t="i"/>
    <k n="Image" t="i"/>
    <k n="Description" t="i"/>
  </s>
  <s>
    <k n="link" t="s"/>
    <k n="logo" t="s"/>
    <k n="name" t="s"/>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_Self" t="i"/>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Total tax rate" t="spb"/>
    <k n="Life expectancy" t="spb"/>
    <k n="National anthem" t="spb"/>
    <k n="Tax revenue (%)" t="spb"/>
    <k n="Infant mortality" t="spb"/>
    <k n="Urban population" t="spb"/>
    <k n="Armed forces size" t="spb"/>
    <k n="Forested area (%)"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6">
    <x:dxf>
      <x:numFmt numFmtId="3" formatCode="#,##0"/>
    </x:dxf>
    <x:dxf>
      <x:numFmt numFmtId="0" formatCode="General"/>
    </x:dxf>
    <x:dxf>
      <x:numFmt numFmtId="2" formatCode="0.00"/>
    </x:dxf>
    <x:dxf>
      <x:numFmt numFmtId="14" formatCode="0.00%"/>
    </x:dxf>
    <x:dxf>
      <x:numFmt numFmtId="4" formatCode="#,##0.00"/>
    </x:dxf>
    <x:dxf>
      <x:numFmt numFmtId="1" formatCode="0"/>
    </x:dxf>
  </dxfs>
  <richProperties>
    <rPr n="IsTitleField" t="b"/>
    <rPr n="IsHeroField" t="b"/>
    <rPr n="RequiresInlineAttribution" t="b"/>
    <rPr n="NumberFormat" t="s"/>
  </richProperties>
  <richStyles>
    <rSty>
      <rpv i="0">1</rpv>
    </rSty>
    <rSty>
      <rpv i="1">1</rpv>
    </rSty>
    <rSty>
      <rpv i="2">1</rpv>
    </rSty>
    <rSty dxfid="3">
      <rpv i="3">0.0%</rpv>
    </rSty>
    <rSty dxfid="0">
      <rpv i="3">#,##0</rpv>
    </rSty>
    <rSty dxfid="2">
      <rpv i="3">0.00</rpv>
    </rSty>
    <rSty dxfid="5">
      <rpv i="3">0</rpv>
    </rSty>
    <rSty dxfid="4">
      <rpv i="3">#,##0.00</rpv>
    </rSty>
    <rSty dxfid="1">
      <rpv i="3">0.0</rpv>
    </rSty>
    <rSty dxfid="1">
      <rpv i="3">_([$$-en-US]* #,##0.00_);_([$$-en-US]* (#,##0.00);_([$$-en-US]* "-"??_);_(@_)</rpv>
    </rSty>
    <rSty dxfid="1">
      <rpv i="3">_([$$-en-US]* #,##0_);_([$$-en-US]* (#,##0);_([$$-en-US]* "-"_);_(@_)</rpv>
    </rSty>
    <rSty dxfid="3"/>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3" Type="http://schemas.openxmlformats.org/officeDocument/2006/relationships/hyperlink" Target="https://myfairdata.com/" TargetMode="External"/><Relationship Id="rId18" Type="http://schemas.openxmlformats.org/officeDocument/2006/relationships/hyperlink" Target="https://mijn.medsafe.io/auth" TargetMode="External"/><Relationship Id="rId26" Type="http://schemas.openxmlformats.org/officeDocument/2006/relationships/hyperlink" Target="https://www.yivi.app/" TargetMode="External"/><Relationship Id="rId39" Type="http://schemas.openxmlformats.org/officeDocument/2006/relationships/hyperlink" Target="https://ivido.nl/" TargetMode="External"/><Relationship Id="rId21" Type="http://schemas.openxmlformats.org/officeDocument/2006/relationships/hyperlink" Target="https://cphsolutionslab.dk/en/projekter/data-platforms/city-data-exchange" TargetMode="External"/><Relationship Id="rId34" Type="http://schemas.openxmlformats.org/officeDocument/2006/relationships/hyperlink" Target="https://patientsknowbest.com/about/" TargetMode="External"/><Relationship Id="rId42" Type="http://schemas.openxmlformats.org/officeDocument/2006/relationships/hyperlink" Target="https://www.dataswift.io/legal/legal" TargetMode="External"/><Relationship Id="rId47" Type="http://schemas.openxmlformats.org/officeDocument/2006/relationships/hyperlink" Target="https://digi.me/partner-terms/" TargetMode="External"/><Relationship Id="rId50" Type="http://schemas.openxmlformats.org/officeDocument/2006/relationships/hyperlink" Target="https://cozy.io/fr/" TargetMode="External"/><Relationship Id="rId55" Type="http://schemas.openxmlformats.org/officeDocument/2006/relationships/hyperlink" Target="https://bitsabout.me/en/contribute-to-the-research-on-the-impact-of-sars-cov-2/" TargetMode="External"/><Relationship Id="rId7" Type="http://schemas.openxmlformats.org/officeDocument/2006/relationships/hyperlink" Target="https://www.quli.nl/quli-voor-patientgroepen/" TargetMode="External"/><Relationship Id="rId2" Type="http://schemas.openxmlformats.org/officeDocument/2006/relationships/hyperlink" Target="https://www.zodos.nl/" TargetMode="External"/><Relationship Id="rId16" Type="http://schemas.openxmlformats.org/officeDocument/2006/relationships/hyperlink" Target="https://mijnpgo.org/" TargetMode="External"/><Relationship Id="rId29" Type="http://schemas.openxmlformats.org/officeDocument/2006/relationships/hyperlink" Target="https://swashapp.io/" TargetMode="External"/><Relationship Id="rId11" Type="http://schemas.openxmlformats.org/officeDocument/2006/relationships/hyperlink" Target="https://polypoly-citizens.eu/" TargetMode="External"/><Relationship Id="rId24" Type="http://schemas.openxmlformats.org/officeDocument/2006/relationships/hyperlink" Target="https://www.vitaalbank.nl/product/" TargetMode="External"/><Relationship Id="rId32" Type="http://schemas.openxmlformats.org/officeDocument/2006/relationships/hyperlink" Target="https://djustconnect.be/en/getting-started" TargetMode="External"/><Relationship Id="rId37" Type="http://schemas.openxmlformats.org/officeDocument/2006/relationships/hyperlink" Target="https://www.lotame.com/pdx/marketplace/" TargetMode="External"/><Relationship Id="rId40" Type="http://schemas.openxmlformats.org/officeDocument/2006/relationships/hyperlink" Target="https://ishare.eu/about-ishare/benefits/for-data-owners/" TargetMode="External"/><Relationship Id="rId45" Type="http://schemas.openxmlformats.org/officeDocument/2006/relationships/hyperlink" Target="https://fairdatasociety.org/" TargetMode="External"/><Relationship Id="rId53" Type="http://schemas.openxmlformats.org/officeDocument/2006/relationships/hyperlink" Target="https://solidproject.org/users/get-a-pod" TargetMode="External"/><Relationship Id="rId5" Type="http://schemas.openxmlformats.org/officeDocument/2006/relationships/hyperlink" Target="https://uwzorgonline.nl/" TargetMode="External"/><Relationship Id="rId10" Type="http://schemas.openxmlformats.org/officeDocument/2006/relationships/hyperlink" Target="https://www.prifina.com/core-concept.html" TargetMode="External"/><Relationship Id="rId19" Type="http://schemas.openxmlformats.org/officeDocument/2006/relationships/hyperlink" Target="https://marketplace.city/news/" TargetMode="External"/><Relationship Id="rId31" Type="http://schemas.openxmlformats.org/officeDocument/2006/relationships/hyperlink" Target="https://selfcare4me.com/gezondheidsexperimenten-met-salut-voor-een-gezonder-nederland/" TargetMode="External"/><Relationship Id="rId44" Type="http://schemas.openxmlformats.org/officeDocument/2006/relationships/hyperlink" Target="https://www.gezondheidsmeter.nl/site/voor-zorgverleners" TargetMode="External"/><Relationship Id="rId52" Type="http://schemas.openxmlformats.org/officeDocument/2006/relationships/hyperlink" Target="https://www.clture.io/faq" TargetMode="External"/><Relationship Id="rId4" Type="http://schemas.openxmlformats.org/officeDocument/2006/relationships/hyperlink" Target="https://visionspol.eu/infrastructure/" TargetMode="External"/><Relationship Id="rId9" Type="http://schemas.openxmlformats.org/officeDocument/2006/relationships/hyperlink" Target="https://www.qii.nl/over-ons" TargetMode="External"/><Relationship Id="rId14" Type="http://schemas.openxmlformats.org/officeDocument/2006/relationships/hyperlink" Target="https://mydex.org/platform-services/" TargetMode="External"/><Relationship Id="rId22" Type="http://schemas.openxmlformats.org/officeDocument/2006/relationships/hyperlink" Target="https://personium.io/" TargetMode="External"/><Relationship Id="rId27" Type="http://schemas.openxmlformats.org/officeDocument/2006/relationships/hyperlink" Target="https://x-road.global/secure-data-exchange-to-the-japanese-energy-sector" TargetMode="External"/><Relationship Id="rId30" Type="http://schemas.openxmlformats.org/officeDocument/2006/relationships/hyperlink" Target="https://www.snowflake.com/en/data-cloud/marketplace/" TargetMode="External"/><Relationship Id="rId35" Type="http://schemas.openxmlformats.org/officeDocument/2006/relationships/hyperlink" Target="https://www.meeco.me/meeco-whitepaper" TargetMode="External"/><Relationship Id="rId43" Type="http://schemas.openxmlformats.org/officeDocument/2006/relationships/hyperlink" Target="https://www.hubofallthings.com/the-hat-ecosystem" TargetMode="External"/><Relationship Id="rId48" Type="http://schemas.openxmlformats.org/officeDocument/2006/relationships/hyperlink" Target="https://www.dawex.com/en/" TargetMode="External"/><Relationship Id="rId56" Type="http://schemas.openxmlformats.org/officeDocument/2006/relationships/printerSettings" Target="../printerSettings/printerSettings1.bin"/><Relationship Id="rId8" Type="http://schemas.openxmlformats.org/officeDocument/2006/relationships/hyperlink" Target="https://www.qiyfoundation.org/qiy-scheme/what-is-a-scheme/organisation/" TargetMode="External"/><Relationship Id="rId51" Type="http://schemas.openxmlformats.org/officeDocument/2006/relationships/hyperlink" Target="https://www.citizenme.com/case-studies/gambling-and-the-fifa-world-cup-2022-part-1/" TargetMode="External"/><Relationship Id="rId3" Type="http://schemas.openxmlformats.org/officeDocument/2006/relationships/hyperlink" Target="https://weople.space/en/" TargetMode="External"/><Relationship Id="rId12" Type="http://schemas.openxmlformats.org/officeDocument/2006/relationships/hyperlink" Target="https://ockto.eu/faq" TargetMode="External"/><Relationship Id="rId17" Type="http://schemas.openxmlformats.org/officeDocument/2006/relationships/hyperlink" Target="https://www.medxpert.app/" TargetMode="External"/><Relationship Id="rId25" Type="http://schemas.openxmlformats.org/officeDocument/2006/relationships/hyperlink" Target="https://www.onecub.com/solution/" TargetMode="External"/><Relationship Id="rId33" Type="http://schemas.openxmlformats.org/officeDocument/2006/relationships/hyperlink" Target="https://seedlinked.com/our-grower-network/" TargetMode="External"/><Relationship Id="rId38" Type="http://schemas.openxmlformats.org/officeDocument/2006/relationships/hyperlink" Target="https://join-data.nl/en/experience-stories/how-does-frieslandcampina-project-leader-laurens-guelen-experience-joindata/" TargetMode="External"/><Relationship Id="rId46" Type="http://schemas.openxmlformats.org/officeDocument/2006/relationships/hyperlink" Target="https://www.drimpy.com/projecten/" TargetMode="External"/><Relationship Id="rId20" Type="http://schemas.openxmlformats.org/officeDocument/2006/relationships/hyperlink" Target="https://bitsabout.me/en/shop-smart-and-live-healthy-with-the-new-nutri-score/" TargetMode="External"/><Relationship Id="rId41" Type="http://schemas.openxmlformats.org/officeDocument/2006/relationships/hyperlink" Target="https://docs.igrant.io/docs/" TargetMode="External"/><Relationship Id="rId54" Type="http://schemas.openxmlformats.org/officeDocument/2006/relationships/hyperlink" Target="https://cgmlife.nl/" TargetMode="External"/><Relationship Id="rId1" Type="http://schemas.openxmlformats.org/officeDocument/2006/relationships/hyperlink" Target="https://www.zorgdoc.nl/" TargetMode="External"/><Relationship Id="rId6" Type="http://schemas.openxmlformats.org/officeDocument/2006/relationships/hyperlink" Target="https://www.ethswarm.org/foundation" TargetMode="External"/><Relationship Id="rId15" Type="http://schemas.openxmlformats.org/officeDocument/2006/relationships/hyperlink" Target="https://mydatamood.com/" TargetMode="External"/><Relationship Id="rId23" Type="http://schemas.openxmlformats.org/officeDocument/2006/relationships/hyperlink" Target="https://www.drimpy.com/projecten/mydigitwin/" TargetMode="External"/><Relationship Id="rId28" Type="http://schemas.openxmlformats.org/officeDocument/2006/relationships/hyperlink" Target="https://docs.streamr.network/" TargetMode="External"/><Relationship Id="rId36" Type="http://schemas.openxmlformats.org/officeDocument/2006/relationships/hyperlink" Target="https://www.lunadna.com/individuals/" TargetMode="External"/><Relationship Id="rId49" Type="http://schemas.openxmlformats.org/officeDocument/2006/relationships/hyperlink" Target="https://datafund.io/papers/Datafund_Business_Primer_Final_v09.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670FA-1080-4867-96BC-07B08A6BB8D5}">
  <dimension ref="A3:B18"/>
  <sheetViews>
    <sheetView workbookViewId="0">
      <selection activeCell="D6" sqref="D6"/>
    </sheetView>
  </sheetViews>
  <sheetFormatPr defaultRowHeight="14.5" x14ac:dyDescent="0.35"/>
  <cols>
    <col min="1" max="1" width="14.7265625" bestFit="1" customWidth="1"/>
    <col min="2" max="2" width="15.08984375" bestFit="1" customWidth="1"/>
  </cols>
  <sheetData>
    <row r="3" spans="1:2" x14ac:dyDescent="0.35">
      <c r="A3" s="16" t="s">
        <v>0</v>
      </c>
      <c r="B3" t="s">
        <v>183</v>
      </c>
    </row>
    <row r="4" spans="1:2" x14ac:dyDescent="0.35">
      <c r="A4" t="s">
        <v>82</v>
      </c>
      <c r="B4">
        <v>1</v>
      </c>
    </row>
    <row r="5" spans="1:2" x14ac:dyDescent="0.35">
      <c r="A5" t="s">
        <v>182</v>
      </c>
      <c r="B5">
        <v>1</v>
      </c>
    </row>
    <row r="6" spans="1:2" x14ac:dyDescent="0.35">
      <c r="A6" t="s">
        <v>179</v>
      </c>
      <c r="B6">
        <v>1</v>
      </c>
    </row>
    <row r="7" spans="1:2" x14ac:dyDescent="0.35">
      <c r="A7" t="s">
        <v>71</v>
      </c>
      <c r="B7">
        <v>1</v>
      </c>
    </row>
    <row r="8" spans="1:2" x14ac:dyDescent="0.35">
      <c r="A8" t="s">
        <v>74</v>
      </c>
      <c r="B8">
        <v>1</v>
      </c>
    </row>
    <row r="9" spans="1:2" x14ac:dyDescent="0.35">
      <c r="A9" t="s">
        <v>79</v>
      </c>
      <c r="B9">
        <v>1</v>
      </c>
    </row>
    <row r="10" spans="1:2" x14ac:dyDescent="0.35">
      <c r="A10" t="s">
        <v>178</v>
      </c>
      <c r="B10">
        <v>2</v>
      </c>
    </row>
    <row r="11" spans="1:2" x14ac:dyDescent="0.35">
      <c r="A11" t="s">
        <v>91</v>
      </c>
      <c r="B11">
        <v>2</v>
      </c>
    </row>
    <row r="12" spans="1:2" x14ac:dyDescent="0.35">
      <c r="A12" t="s">
        <v>68</v>
      </c>
      <c r="B12">
        <v>2</v>
      </c>
    </row>
    <row r="13" spans="1:2" x14ac:dyDescent="0.35">
      <c r="A13" t="s">
        <v>166</v>
      </c>
      <c r="B13">
        <v>2</v>
      </c>
    </row>
    <row r="14" spans="1:2" x14ac:dyDescent="0.35">
      <c r="A14" t="s">
        <v>184</v>
      </c>
      <c r="B14">
        <v>3</v>
      </c>
    </row>
    <row r="15" spans="1:2" x14ac:dyDescent="0.35">
      <c r="A15" t="s">
        <v>86</v>
      </c>
      <c r="B15">
        <v>5</v>
      </c>
    </row>
    <row r="16" spans="1:2" x14ac:dyDescent="0.35">
      <c r="A16" t="s">
        <v>20</v>
      </c>
      <c r="B16">
        <v>7</v>
      </c>
    </row>
    <row r="17" spans="1:2" x14ac:dyDescent="0.35">
      <c r="A17" t="s">
        <v>94</v>
      </c>
      <c r="B17">
        <v>8</v>
      </c>
    </row>
    <row r="18" spans="1:2" x14ac:dyDescent="0.35">
      <c r="A18" t="s">
        <v>69</v>
      </c>
      <c r="B18">
        <v>19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EE729-8BF4-4541-8B1D-C929459283D6}">
  <dimension ref="A1:AG34"/>
  <sheetViews>
    <sheetView zoomScale="89" workbookViewId="0">
      <selection activeCell="D2" sqref="D2"/>
    </sheetView>
  </sheetViews>
  <sheetFormatPr defaultRowHeight="14.5" x14ac:dyDescent="0.35"/>
  <cols>
    <col min="1" max="1" width="25.08984375" bestFit="1" customWidth="1"/>
    <col min="3" max="3" width="9.36328125" bestFit="1" customWidth="1"/>
    <col min="5" max="5" width="8.7265625" style="19"/>
    <col min="7" max="7" width="8.7265625" style="19"/>
    <col min="9" max="9" width="8.7265625" style="19"/>
    <col min="13" max="13" width="8.7265625" style="19"/>
    <col min="15" max="15" width="10.90625" bestFit="1" customWidth="1"/>
  </cols>
  <sheetData>
    <row r="1" spans="1:15" x14ac:dyDescent="0.35">
      <c r="A1" s="6" t="s">
        <v>98</v>
      </c>
      <c r="B1" s="6" t="s">
        <v>99</v>
      </c>
      <c r="C1" s="6" t="s">
        <v>100</v>
      </c>
      <c r="D1" s="8" t="s">
        <v>139</v>
      </c>
      <c r="E1" s="21" t="s">
        <v>140</v>
      </c>
      <c r="F1" s="8" t="s">
        <v>141</v>
      </c>
      <c r="G1" s="21" t="s">
        <v>142</v>
      </c>
      <c r="H1" s="8" t="s">
        <v>143</v>
      </c>
      <c r="I1" s="21" t="s">
        <v>144</v>
      </c>
      <c r="J1" s="9" t="s">
        <v>199</v>
      </c>
      <c r="K1" s="9" t="s">
        <v>100</v>
      </c>
      <c r="L1" s="9" t="s">
        <v>185</v>
      </c>
      <c r="M1" s="20" t="s">
        <v>100</v>
      </c>
      <c r="N1" s="17" t="s">
        <v>187</v>
      </c>
      <c r="O1" s="17" t="s">
        <v>188</v>
      </c>
    </row>
    <row r="2" spans="1:15" x14ac:dyDescent="0.35">
      <c r="A2" t="s">
        <v>107</v>
      </c>
      <c r="B2">
        <f>SUM(DISs!$B$2:$B$98)</f>
        <v>13</v>
      </c>
      <c r="C2" s="18">
        <f>B2/$B$7</f>
        <v>0.24074074074074073</v>
      </c>
      <c r="D2">
        <f>SUMIF(DISs!$L$2:$L$495,"subject",DISs!$B$2:$B$495)</f>
        <v>9</v>
      </c>
      <c r="E2" s="19">
        <f>D2/$B$17</f>
        <v>0.25714285714285712</v>
      </c>
      <c r="F2">
        <f>SUMIF(DISs!$L$2:$L$495,"enabler",DISs!$B$2:$B$495)</f>
        <v>4</v>
      </c>
      <c r="G2" s="19">
        <f>F2/$B$18</f>
        <v>0.21052631578947367</v>
      </c>
      <c r="H2">
        <f>SUMIF(DISs!$L$2:$L$495,"cooperative",DISs!$B$2:$B$495)</f>
        <v>0</v>
      </c>
      <c r="I2" s="19" t="e">
        <f>H2*100/$B$19</f>
        <v>#DIV/0!</v>
      </c>
      <c r="J2">
        <f>SUMIF(DISs!$N$2:$N$495,"mono",DISs!$B$2:$B$495)</f>
        <v>7</v>
      </c>
      <c r="K2" s="19">
        <f>J2/B13</f>
        <v>0.3888888888888889</v>
      </c>
      <c r="L2">
        <f>SUMIF(DISs!$N$2:$N$495,"multi",DISs!$B$2:$B$495)</f>
        <v>6</v>
      </c>
      <c r="M2" s="19">
        <f>L2/B14</f>
        <v>0.16666666666666666</v>
      </c>
      <c r="N2">
        <f>SUMIF(DISs!$O$2:$O$495,"personal",DISs!$B$2:$B$495)</f>
        <v>5</v>
      </c>
      <c r="O2">
        <f>SUMIF(DISs!$O$2:$O$495,"non-personal",DISs!$B$2:$B$495)</f>
        <v>3</v>
      </c>
    </row>
    <row r="3" spans="1:15" x14ac:dyDescent="0.35">
      <c r="A3" t="s">
        <v>108</v>
      </c>
      <c r="B3">
        <f>SUM(DISs!$C$2:$C$98)</f>
        <v>5</v>
      </c>
      <c r="C3" s="18">
        <f>B3/$B$7</f>
        <v>9.2592592592592587E-2</v>
      </c>
      <c r="D3">
        <f>SUMIF(DISs!$L$2:$L$495,"subject",DISs!$C$2:$C$495)</f>
        <v>4</v>
      </c>
      <c r="E3" s="19">
        <f>D3/$B$17</f>
        <v>0.11428571428571428</v>
      </c>
      <c r="F3">
        <f>SUMIF(DISs!$L$2:$L$495,"enabler",DISs!$C$2:$C$495)</f>
        <v>1</v>
      </c>
      <c r="G3" s="19">
        <f>F3/$B$18</f>
        <v>5.2631578947368418E-2</v>
      </c>
      <c r="H3">
        <f>SUMIF(DISs!$L$2:$L$495,"cooperative",DISs!$C$2:$C$495)</f>
        <v>0</v>
      </c>
      <c r="I3" s="19" t="e">
        <f>H3*100/$B$19</f>
        <v>#DIV/0!</v>
      </c>
      <c r="J3">
        <f>SUMIF(DISs!$N$2:$N$495,"mono",DISs!$C$2:$C$495)</f>
        <v>5</v>
      </c>
      <c r="K3" s="19">
        <f>J3/B13</f>
        <v>0.27777777777777779</v>
      </c>
      <c r="L3">
        <f>SUMIF(DISs!$N$2:$N$495,"multi",DISs!$C$2:$C$495)</f>
        <v>0</v>
      </c>
      <c r="M3" s="19">
        <f>L3/B14</f>
        <v>0</v>
      </c>
      <c r="N3">
        <f>SUMIF(DISs!$O$2:$O$495,"personal",DISs!$C$2:$C$495)</f>
        <v>4</v>
      </c>
      <c r="O3">
        <f>SUMIF(DISs!$O$2:$O$495,"non-personal",DISs!$C$2:$C$495)</f>
        <v>1</v>
      </c>
    </row>
    <row r="4" spans="1:15" x14ac:dyDescent="0.35">
      <c r="A4" t="s">
        <v>191</v>
      </c>
      <c r="B4">
        <f>SUM(DISs!$D$2:$D$98)</f>
        <v>12</v>
      </c>
      <c r="C4" s="18">
        <f>B4/$B$7</f>
        <v>0.22222222222222221</v>
      </c>
      <c r="D4">
        <f>SUMIF(DISs!$L$2:$L$495,"subject",DISs!$D$2:$D$495)</f>
        <v>10</v>
      </c>
      <c r="E4" s="19">
        <f>D4/$B$17</f>
        <v>0.2857142857142857</v>
      </c>
      <c r="F4">
        <f>SUMIF(DISs!$L$2:$L$495,"enabler",DISs!$D$2:$D$495)</f>
        <v>2</v>
      </c>
      <c r="G4" s="19">
        <f>F4/$B$18</f>
        <v>0.10526315789473684</v>
      </c>
      <c r="H4">
        <f>SUMIF(DISs!$L$2:$L$495,"cooperative",DISs!$D$2:$D$495)</f>
        <v>0</v>
      </c>
      <c r="I4" s="19" t="e">
        <f>H4*100/$B$19</f>
        <v>#DIV/0!</v>
      </c>
      <c r="J4">
        <f>SUMIF(DISs!$N$2:$N$495,"mono",DISs!$D$2:$D$495)</f>
        <v>7</v>
      </c>
      <c r="K4" s="19">
        <f>J4/B13</f>
        <v>0.3888888888888889</v>
      </c>
      <c r="L4">
        <f>SUMIF(DISs!$N$2:$N$495,"multi",DISs!$D$2:$D$495)</f>
        <v>5</v>
      </c>
      <c r="M4" s="19">
        <f>L4/B14</f>
        <v>0.1388888888888889</v>
      </c>
      <c r="N4">
        <f>SUMIF(DISs!$O$2:$O$495,"personal",DISs!$D$2:$D$495)</f>
        <v>6</v>
      </c>
      <c r="O4">
        <f>SUMIF(DISs!$O$2:$O$495,"non-personal",DISs!$D$2:$D$495)</f>
        <v>2</v>
      </c>
    </row>
    <row r="7" spans="1:15" x14ac:dyDescent="0.35">
      <c r="A7" t="s">
        <v>97</v>
      </c>
      <c r="B7">
        <v>54</v>
      </c>
    </row>
    <row r="8" spans="1:15" x14ac:dyDescent="0.35">
      <c r="A8" s="4"/>
      <c r="B8" s="4"/>
    </row>
    <row r="9" spans="1:15" x14ac:dyDescent="0.35">
      <c r="A9" s="4"/>
      <c r="B9" s="4"/>
    </row>
    <row r="10" spans="1:15" x14ac:dyDescent="0.35">
      <c r="A10" s="4"/>
      <c r="B10" s="4"/>
    </row>
    <row r="13" spans="1:15" x14ac:dyDescent="0.35">
      <c r="A13" s="4" t="s">
        <v>202</v>
      </c>
      <c r="B13" s="4">
        <f>COUNTIF(DISs!$N$2:$N$495,"mono")</f>
        <v>18</v>
      </c>
    </row>
    <row r="14" spans="1:15" x14ac:dyDescent="0.35">
      <c r="A14" s="4" t="s">
        <v>201</v>
      </c>
      <c r="B14" s="4">
        <f>COUNTIF(DISs!$N$2:$N$495,"multi")</f>
        <v>36</v>
      </c>
    </row>
    <row r="15" spans="1:15" x14ac:dyDescent="0.35">
      <c r="A15" s="4" t="s">
        <v>198</v>
      </c>
      <c r="B15" s="4">
        <f>COUNTIF(DISs!$N$2:$N$495,"agriculture")</f>
        <v>0</v>
      </c>
    </row>
    <row r="16" spans="1:15" x14ac:dyDescent="0.35">
      <c r="A16" t="s">
        <v>103</v>
      </c>
    </row>
    <row r="17" spans="1:3" x14ac:dyDescent="0.35">
      <c r="A17" s="4" t="s">
        <v>189</v>
      </c>
      <c r="B17" s="4">
        <f>COUNTIF(DISs!$L$2:$L$495,"subject")</f>
        <v>35</v>
      </c>
    </row>
    <row r="18" spans="1:3" x14ac:dyDescent="0.35">
      <c r="A18" s="4" t="s">
        <v>133</v>
      </c>
      <c r="B18" s="4">
        <f>COUNTIF(DISs!$L$2:$L$495,"enabler")</f>
        <v>19</v>
      </c>
    </row>
    <row r="19" spans="1:3" x14ac:dyDescent="0.35">
      <c r="A19" s="4" t="s">
        <v>115</v>
      </c>
      <c r="B19" s="4">
        <f>COUNTIF(DISs!$L$2:$L$495,"cooperative")</f>
        <v>0</v>
      </c>
    </row>
    <row r="26" spans="1:3" x14ac:dyDescent="0.35">
      <c r="A26" s="1" t="s">
        <v>146</v>
      </c>
      <c r="B26" s="1" t="s">
        <v>147</v>
      </c>
    </row>
    <row r="27" spans="1:3" x14ac:dyDescent="0.35">
      <c r="A27">
        <v>0</v>
      </c>
      <c r="B27">
        <f>COUNTIF(DISs!$E$2:$E$495,A27)</f>
        <v>38</v>
      </c>
      <c r="C27" t="s">
        <v>192</v>
      </c>
    </row>
    <row r="28" spans="1:3" x14ac:dyDescent="0.35">
      <c r="A28">
        <v>1</v>
      </c>
      <c r="B28">
        <f>COUNTIF(DISs!$E$2:$E$495,A28)</f>
        <v>7</v>
      </c>
      <c r="C28" t="s">
        <v>193</v>
      </c>
    </row>
    <row r="29" spans="1:3" x14ac:dyDescent="0.35">
      <c r="A29">
        <v>2</v>
      </c>
      <c r="B29">
        <f>COUNTIF(DISs!$E$2:$E$495,A29)</f>
        <v>4</v>
      </c>
      <c r="C29" t="s">
        <v>194</v>
      </c>
    </row>
    <row r="30" spans="1:3" x14ac:dyDescent="0.35">
      <c r="A30">
        <v>3</v>
      </c>
      <c r="B30">
        <f>COUNTIF(DISs!$E$2:$E$495,A30)</f>
        <v>5</v>
      </c>
      <c r="C30" t="s">
        <v>195</v>
      </c>
    </row>
    <row r="31" spans="1:3" x14ac:dyDescent="0.35">
      <c r="A31">
        <v>4</v>
      </c>
      <c r="B31">
        <f>COUNTIF(DISs!$E$2:$E$495,A31)</f>
        <v>0</v>
      </c>
      <c r="C31" t="s">
        <v>196</v>
      </c>
    </row>
    <row r="32" spans="1:3" x14ac:dyDescent="0.35">
      <c r="A32">
        <v>5</v>
      </c>
      <c r="B32">
        <f>COUNTIF(DISs!$E$2:$E$495,A32)</f>
        <v>0</v>
      </c>
      <c r="C32" t="s">
        <v>197</v>
      </c>
    </row>
    <row r="34" spans="33:33" x14ac:dyDescent="0.35">
      <c r="AG34" t="s">
        <v>186</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F12E6-378D-46FF-B04F-E5DE106A58E8}">
  <dimension ref="A1:AG34"/>
  <sheetViews>
    <sheetView topLeftCell="A7" zoomScale="89" workbookViewId="0">
      <selection activeCell="O12" sqref="O12"/>
    </sheetView>
  </sheetViews>
  <sheetFormatPr defaultRowHeight="14.5" x14ac:dyDescent="0.35"/>
  <cols>
    <col min="1" max="1" width="25.08984375" bestFit="1" customWidth="1"/>
    <col min="3" max="3" width="9.36328125" bestFit="1" customWidth="1"/>
    <col min="5" max="5" width="8.7265625" style="19"/>
    <col min="7" max="7" width="8.7265625" style="19"/>
    <col min="9" max="9" width="8.7265625" style="19"/>
    <col min="13" max="13" width="8.7265625" style="19"/>
    <col min="15" max="15" width="10.90625" bestFit="1" customWidth="1"/>
  </cols>
  <sheetData>
    <row r="1" spans="1:15" x14ac:dyDescent="0.35">
      <c r="A1" s="6" t="s">
        <v>98</v>
      </c>
      <c r="B1" s="6" t="s">
        <v>99</v>
      </c>
      <c r="C1" s="6" t="s">
        <v>100</v>
      </c>
      <c r="D1" s="8" t="s">
        <v>139</v>
      </c>
      <c r="E1" s="21" t="s">
        <v>140</v>
      </c>
      <c r="F1" s="8" t="s">
        <v>141</v>
      </c>
      <c r="G1" s="21" t="s">
        <v>142</v>
      </c>
      <c r="H1" s="8" t="s">
        <v>143</v>
      </c>
      <c r="I1" s="21" t="s">
        <v>144</v>
      </c>
      <c r="J1" s="9" t="s">
        <v>199</v>
      </c>
      <c r="K1" s="9" t="s">
        <v>100</v>
      </c>
      <c r="L1" s="9" t="s">
        <v>185</v>
      </c>
      <c r="M1" s="20" t="s">
        <v>100</v>
      </c>
      <c r="N1" s="17" t="s">
        <v>187</v>
      </c>
      <c r="O1" s="17" t="s">
        <v>188</v>
      </c>
    </row>
    <row r="2" spans="1:15" x14ac:dyDescent="0.35">
      <c r="A2" t="s">
        <v>107</v>
      </c>
      <c r="B2">
        <f>SUM(DISs!$B$2:$B$98)</f>
        <v>13</v>
      </c>
      <c r="C2" s="18">
        <f>B2/$B$7</f>
        <v>0.24074074074074073</v>
      </c>
      <c r="D2">
        <f>SUMIF(DISs!$L$2:$L$495,"subject",DISs!$B$2:$B$495)</f>
        <v>9</v>
      </c>
      <c r="E2" s="19">
        <f>D2/$B$17</f>
        <v>0.25714285714285712</v>
      </c>
      <c r="F2">
        <f>SUMIF(DISs!$L$2:$L$495,"enabler",DISs!$B$2:$B$495)</f>
        <v>4</v>
      </c>
      <c r="G2" s="19">
        <f>F2/$B$18</f>
        <v>0.21052631578947367</v>
      </c>
      <c r="H2">
        <f>SUMIF(DISs!$L$2:$L$495,"cooperative",DISs!$B$2:$B$495)</f>
        <v>0</v>
      </c>
      <c r="I2" s="19" t="e">
        <f>H2*100/$B$19</f>
        <v>#DIV/0!</v>
      </c>
      <c r="J2">
        <f>SUMIF(DISs!$N$2:$N$495,"mono",DISs!$B$2:$B$495)</f>
        <v>7</v>
      </c>
      <c r="K2" s="19">
        <f>J2/B13</f>
        <v>0.3888888888888889</v>
      </c>
      <c r="L2">
        <f>SUMIF(DISs!$N$2:$N$495,"multi",DISs!$B$2:$B$495)</f>
        <v>6</v>
      </c>
      <c r="M2" s="19">
        <f>L2/B14</f>
        <v>0.16666666666666666</v>
      </c>
      <c r="N2">
        <f>SUMIF(DISs!$O$2:$O$495,"personal",DISs!$B$2:$B$495)</f>
        <v>5</v>
      </c>
      <c r="O2">
        <f>SUMIF(DISs!$O$2:$O$495,"non-personal",DISs!$B$2:$B$495)</f>
        <v>3</v>
      </c>
    </row>
    <row r="3" spans="1:15" x14ac:dyDescent="0.35">
      <c r="A3" t="s">
        <v>108</v>
      </c>
      <c r="B3">
        <f>SUM(DISs!$C$2:$C$98)</f>
        <v>5</v>
      </c>
      <c r="C3" s="18">
        <f>B3/$B$7</f>
        <v>9.2592592592592587E-2</v>
      </c>
      <c r="D3">
        <f>SUMIF(DISs!$L$2:$L$495,"subject",DISs!$C$2:$C$495)</f>
        <v>4</v>
      </c>
      <c r="E3" s="19">
        <f>D3/$B$17</f>
        <v>0.11428571428571428</v>
      </c>
      <c r="F3">
        <f>SUMIF(DISs!$L$2:$L$495,"enabler",DISs!$C$2:$C$495)</f>
        <v>1</v>
      </c>
      <c r="G3" s="19">
        <f>F3/$B$18</f>
        <v>5.2631578947368418E-2</v>
      </c>
      <c r="H3">
        <f>SUMIF(DISs!$L$2:$L$495,"cooperative",DISs!$C$2:$C$495)</f>
        <v>0</v>
      </c>
      <c r="I3" s="19" t="e">
        <f>H3*100/$B$19</f>
        <v>#DIV/0!</v>
      </c>
      <c r="J3">
        <f>SUMIF(DISs!$N$2:$N$495,"mono",DISs!$C$2:$C$495)</f>
        <v>5</v>
      </c>
      <c r="K3" s="19">
        <f>J3/B13</f>
        <v>0.27777777777777779</v>
      </c>
      <c r="L3">
        <f>SUMIF(DISs!$N$2:$N$495,"multi",DISs!$C$2:$C$495)</f>
        <v>0</v>
      </c>
      <c r="M3" s="19">
        <f>L3/B14</f>
        <v>0</v>
      </c>
      <c r="N3">
        <f>SUMIF(DISs!$O$2:$O$495,"personal",DISs!$C$2:$C$495)</f>
        <v>4</v>
      </c>
      <c r="O3">
        <f>SUMIF(DISs!$O$2:$O$495,"non-personal",DISs!$C$2:$C$495)</f>
        <v>1</v>
      </c>
    </row>
    <row r="4" spans="1:15" x14ac:dyDescent="0.35">
      <c r="A4" t="s">
        <v>191</v>
      </c>
      <c r="B4">
        <f>SUM(DISs!$D$2:$D$98)</f>
        <v>12</v>
      </c>
      <c r="C4" s="18">
        <f>B4/$B$7</f>
        <v>0.22222222222222221</v>
      </c>
      <c r="D4">
        <f>SUMIF(DISs!$L$2:$L$495,"subject",DISs!$D$2:$D$495)</f>
        <v>10</v>
      </c>
      <c r="E4" s="19">
        <f>D4/$B$17</f>
        <v>0.2857142857142857</v>
      </c>
      <c r="F4">
        <f>SUMIF(DISs!$L$2:$L$495,"enabler",DISs!$D$2:$D$495)</f>
        <v>2</v>
      </c>
      <c r="G4" s="19">
        <f>F4/$B$18</f>
        <v>0.10526315789473684</v>
      </c>
      <c r="H4">
        <f>SUMIF(DISs!$L$2:$L$495,"cooperative",DISs!$D$2:$D$495)</f>
        <v>0</v>
      </c>
      <c r="I4" s="19" t="e">
        <f>H4*100/$B$19</f>
        <v>#DIV/0!</v>
      </c>
      <c r="J4">
        <f>SUMIF(DISs!$N$2:$N$495,"mono",DISs!$D$2:$D$495)</f>
        <v>7</v>
      </c>
      <c r="K4" s="19">
        <f>J4/B13</f>
        <v>0.3888888888888889</v>
      </c>
      <c r="L4">
        <f>SUMIF(DISs!$N$2:$N$495,"multi",DISs!$D$2:$D$495)</f>
        <v>5</v>
      </c>
      <c r="M4" s="19">
        <f>L4/B14</f>
        <v>0.1388888888888889</v>
      </c>
      <c r="N4">
        <f>SUMIF(DISs!$O$2:$O$495,"personal",DISs!$D$2:$D$495)</f>
        <v>6</v>
      </c>
      <c r="O4">
        <f>SUMIF(DISs!$O$2:$O$495,"non-personal",DISs!$D$2:$D$495)</f>
        <v>2</v>
      </c>
    </row>
    <row r="7" spans="1:15" x14ac:dyDescent="0.35">
      <c r="A7" t="s">
        <v>97</v>
      </c>
      <c r="B7">
        <v>54</v>
      </c>
    </row>
    <row r="8" spans="1:15" x14ac:dyDescent="0.35">
      <c r="A8" s="4"/>
      <c r="B8" s="4"/>
    </row>
    <row r="9" spans="1:15" x14ac:dyDescent="0.35">
      <c r="A9" s="4"/>
      <c r="B9" s="4"/>
    </row>
    <row r="10" spans="1:15" x14ac:dyDescent="0.35">
      <c r="A10" s="4"/>
      <c r="B10" s="4"/>
    </row>
    <row r="13" spans="1:15" x14ac:dyDescent="0.35">
      <c r="A13" s="4" t="s">
        <v>202</v>
      </c>
      <c r="B13" s="4">
        <f>COUNTIF(DISs!$N$2:$N$495,"mono")</f>
        <v>18</v>
      </c>
    </row>
    <row r="14" spans="1:15" x14ac:dyDescent="0.35">
      <c r="A14" s="4" t="s">
        <v>201</v>
      </c>
      <c r="B14" s="4">
        <f>COUNTIF(DISs!$N$2:$N$495,"multi")</f>
        <v>36</v>
      </c>
    </row>
    <row r="15" spans="1:15" x14ac:dyDescent="0.35">
      <c r="A15" s="4" t="s">
        <v>198</v>
      </c>
      <c r="B15" s="4">
        <f>COUNTIF(DISs!$N$2:$N$495,"agriculture")</f>
        <v>0</v>
      </c>
    </row>
    <row r="16" spans="1:15" x14ac:dyDescent="0.35">
      <c r="A16" t="s">
        <v>103</v>
      </c>
    </row>
    <row r="17" spans="1:3" x14ac:dyDescent="0.35">
      <c r="A17" s="4" t="s">
        <v>189</v>
      </c>
      <c r="B17" s="4">
        <f>COUNTIF(DISs!$L$2:$L$495,"subject")</f>
        <v>35</v>
      </c>
    </row>
    <row r="18" spans="1:3" x14ac:dyDescent="0.35">
      <c r="A18" s="4" t="s">
        <v>133</v>
      </c>
      <c r="B18" s="4">
        <f>COUNTIF(DISs!$L$2:$L$495,"enabler")</f>
        <v>19</v>
      </c>
    </row>
    <row r="19" spans="1:3" x14ac:dyDescent="0.35">
      <c r="A19" s="4" t="s">
        <v>115</v>
      </c>
      <c r="B19" s="4">
        <f>COUNTIF(DISs!$L$2:$L$495,"cooperative")</f>
        <v>0</v>
      </c>
    </row>
    <row r="26" spans="1:3" x14ac:dyDescent="0.35">
      <c r="A26" s="1" t="s">
        <v>146</v>
      </c>
      <c r="B26" s="1" t="s">
        <v>147</v>
      </c>
    </row>
    <row r="27" spans="1:3" x14ac:dyDescent="0.35">
      <c r="A27">
        <v>0</v>
      </c>
      <c r="B27">
        <f>COUNTIF(DISs!$E$2:$E$495,A27)</f>
        <v>38</v>
      </c>
      <c r="C27" t="s">
        <v>192</v>
      </c>
    </row>
    <row r="28" spans="1:3" x14ac:dyDescent="0.35">
      <c r="A28">
        <v>1</v>
      </c>
      <c r="B28">
        <f>COUNTIF(DISs!$E$2:$E$495,A28)</f>
        <v>7</v>
      </c>
      <c r="C28" t="s">
        <v>193</v>
      </c>
    </row>
    <row r="29" spans="1:3" x14ac:dyDescent="0.35">
      <c r="A29">
        <v>2</v>
      </c>
      <c r="B29">
        <f>COUNTIF(DISs!$E$2:$E$495,A29)</f>
        <v>4</v>
      </c>
      <c r="C29" t="s">
        <v>194</v>
      </c>
    </row>
    <row r="30" spans="1:3" x14ac:dyDescent="0.35">
      <c r="A30">
        <v>3</v>
      </c>
      <c r="B30">
        <f>COUNTIF(DISs!$E$2:$E$495,A30)</f>
        <v>5</v>
      </c>
      <c r="C30" t="s">
        <v>195</v>
      </c>
    </row>
    <row r="31" spans="1:3" x14ac:dyDescent="0.35">
      <c r="A31">
        <v>4</v>
      </c>
      <c r="B31">
        <f>COUNTIF(DISs!$E$2:$E$495,A31)</f>
        <v>0</v>
      </c>
      <c r="C31" t="s">
        <v>196</v>
      </c>
    </row>
    <row r="32" spans="1:3" x14ac:dyDescent="0.35">
      <c r="A32">
        <v>5</v>
      </c>
      <c r="B32">
        <f>COUNTIF(DISs!$E$2:$E$495,A32)</f>
        <v>0</v>
      </c>
      <c r="C32" t="s">
        <v>197</v>
      </c>
    </row>
    <row r="34" spans="33:33" x14ac:dyDescent="0.35">
      <c r="AG34" t="s">
        <v>186</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17B0B-3685-43F8-B285-6A188AF0DA55}">
  <dimension ref="A1:AG34"/>
  <sheetViews>
    <sheetView zoomScale="89" workbookViewId="0">
      <selection activeCell="Q8" sqref="Q8"/>
    </sheetView>
  </sheetViews>
  <sheetFormatPr defaultRowHeight="14.5" x14ac:dyDescent="0.35"/>
  <cols>
    <col min="1" max="1" width="25.08984375" bestFit="1" customWidth="1"/>
    <col min="3" max="3" width="9.36328125" bestFit="1" customWidth="1"/>
    <col min="5" max="5" width="8.7265625" style="19"/>
    <col min="7" max="7" width="8.7265625" style="19"/>
    <col min="9" max="9" width="8.7265625" style="19"/>
    <col min="13" max="13" width="8.7265625" style="19"/>
    <col min="15" max="15" width="10.90625" bestFit="1" customWidth="1"/>
  </cols>
  <sheetData>
    <row r="1" spans="1:15" x14ac:dyDescent="0.35">
      <c r="A1" s="6" t="s">
        <v>98</v>
      </c>
      <c r="B1" s="6" t="s">
        <v>99</v>
      </c>
      <c r="C1" s="6" t="s">
        <v>100</v>
      </c>
      <c r="D1" s="8" t="s">
        <v>139</v>
      </c>
      <c r="E1" s="21" t="s">
        <v>140</v>
      </c>
      <c r="F1" s="8" t="s">
        <v>141</v>
      </c>
      <c r="G1" s="21" t="s">
        <v>142</v>
      </c>
      <c r="H1" s="8" t="s">
        <v>143</v>
      </c>
      <c r="I1" s="21" t="s">
        <v>144</v>
      </c>
      <c r="J1" s="9" t="s">
        <v>199</v>
      </c>
      <c r="K1" s="9" t="s">
        <v>100</v>
      </c>
      <c r="L1" s="9" t="s">
        <v>185</v>
      </c>
      <c r="M1" s="20" t="s">
        <v>100</v>
      </c>
      <c r="N1" s="17" t="s">
        <v>187</v>
      </c>
      <c r="O1" s="17" t="s">
        <v>188</v>
      </c>
    </row>
    <row r="2" spans="1:15" x14ac:dyDescent="0.35">
      <c r="A2" t="s">
        <v>107</v>
      </c>
      <c r="B2">
        <f>SUM(DISs!$B$2:$B$98)</f>
        <v>13</v>
      </c>
      <c r="C2" s="18">
        <f>B2/$B$7</f>
        <v>0.24074074074074073</v>
      </c>
      <c r="D2">
        <f>SUMIF(DISs!$L$2:$L$495,"subject",DISs!$B$2:$B$495)</f>
        <v>9</v>
      </c>
      <c r="E2" s="19">
        <f>D2/$B$17</f>
        <v>0.25714285714285712</v>
      </c>
      <c r="F2">
        <f>SUMIF(DISs!$L$2:$L$495,"enabler",DISs!$B$2:$B$495)</f>
        <v>4</v>
      </c>
      <c r="G2" s="19">
        <f>F2/$B$18</f>
        <v>0.21052631578947367</v>
      </c>
      <c r="H2">
        <f>SUMIF(DISs!$L$2:$L$495,"cooperative",DISs!$B$2:$B$495)</f>
        <v>0</v>
      </c>
      <c r="I2" s="19" t="e">
        <f>H2*100/$B$19</f>
        <v>#DIV/0!</v>
      </c>
      <c r="J2">
        <f>SUMIF(DISs!$N$2:$N$495,"mono",DISs!$B$2:$B$495)</f>
        <v>7</v>
      </c>
      <c r="K2" s="19">
        <f>J2/B13</f>
        <v>0.3888888888888889</v>
      </c>
      <c r="L2">
        <f>SUMIF(DISs!$N$2:$N$495,"multi",DISs!$B$2:$B$495)</f>
        <v>6</v>
      </c>
      <c r="M2" s="19">
        <f>L2/B14</f>
        <v>0.16666666666666666</v>
      </c>
      <c r="N2">
        <f>SUMIF(DISs!$O$2:$O$495,"personal",DISs!$B$2:$B$495)</f>
        <v>5</v>
      </c>
      <c r="O2">
        <f>SUMIF(DISs!$O$2:$O$495,"non-personal",DISs!$B$2:$B$495)</f>
        <v>3</v>
      </c>
    </row>
    <row r="3" spans="1:15" x14ac:dyDescent="0.35">
      <c r="A3" t="s">
        <v>108</v>
      </c>
      <c r="B3">
        <f>SUM(DISs!$C$2:$C$98)</f>
        <v>5</v>
      </c>
      <c r="C3" s="18">
        <f>B3/$B$7</f>
        <v>9.2592592592592587E-2</v>
      </c>
      <c r="D3">
        <f>SUMIF(DISs!$L$2:$L$495,"subject",DISs!$C$2:$C$495)</f>
        <v>4</v>
      </c>
      <c r="E3" s="19">
        <f>D3/$B$17</f>
        <v>0.11428571428571428</v>
      </c>
      <c r="F3">
        <f>SUMIF(DISs!$L$2:$L$495,"enabler",DISs!$C$2:$C$495)</f>
        <v>1</v>
      </c>
      <c r="G3" s="19">
        <f>F3/$B$18</f>
        <v>5.2631578947368418E-2</v>
      </c>
      <c r="H3">
        <f>SUMIF(DISs!$L$2:$L$495,"cooperative",DISs!$C$2:$C$495)</f>
        <v>0</v>
      </c>
      <c r="I3" s="19" t="e">
        <f>H3*100/$B$19</f>
        <v>#DIV/0!</v>
      </c>
      <c r="J3">
        <f>SUMIF(DISs!$N$2:$N$495,"mono",DISs!$C$2:$C$495)</f>
        <v>5</v>
      </c>
      <c r="K3" s="19">
        <f>J3/B13</f>
        <v>0.27777777777777779</v>
      </c>
      <c r="L3">
        <f>SUMIF(DISs!$N$2:$N$495,"multi",DISs!$C$2:$C$495)</f>
        <v>0</v>
      </c>
      <c r="M3" s="19">
        <f>L3/B14</f>
        <v>0</v>
      </c>
      <c r="N3">
        <f>SUMIF(DISs!$O$2:$O$495,"personal",DISs!$C$2:$C$495)</f>
        <v>4</v>
      </c>
      <c r="O3">
        <f>SUMIF(DISs!$O$2:$O$495,"non-personal",DISs!$C$2:$C$495)</f>
        <v>1</v>
      </c>
    </row>
    <row r="4" spans="1:15" x14ac:dyDescent="0.35">
      <c r="A4" t="s">
        <v>191</v>
      </c>
      <c r="B4">
        <f>SUM(DISs!$D$2:$D$98)</f>
        <v>12</v>
      </c>
      <c r="C4" s="18">
        <f>B4/$B$7</f>
        <v>0.22222222222222221</v>
      </c>
      <c r="D4">
        <f>SUMIF(DISs!$L$2:$L$495,"subject",DISs!$D$2:$D$495)</f>
        <v>10</v>
      </c>
      <c r="E4" s="19">
        <f>D4/$B$17</f>
        <v>0.2857142857142857</v>
      </c>
      <c r="F4">
        <f>SUMIF(DISs!$L$2:$L$495,"enabler",DISs!$D$2:$D$495)</f>
        <v>2</v>
      </c>
      <c r="G4" s="19">
        <f>F4/$B$18</f>
        <v>0.10526315789473684</v>
      </c>
      <c r="H4">
        <f>SUMIF(DISs!$L$2:$L$495,"cooperative",DISs!$D$2:$D$495)</f>
        <v>0</v>
      </c>
      <c r="I4" s="19" t="e">
        <f>H4*100/$B$19</f>
        <v>#DIV/0!</v>
      </c>
      <c r="J4">
        <f>SUMIF(DISs!$N$2:$N$495,"mono",DISs!$D$2:$D$495)</f>
        <v>7</v>
      </c>
      <c r="K4" s="19">
        <f>J4/B13</f>
        <v>0.3888888888888889</v>
      </c>
      <c r="L4">
        <f>SUMIF(DISs!$N$2:$N$495,"multi",DISs!$D$2:$D$495)</f>
        <v>5</v>
      </c>
      <c r="M4" s="19">
        <f>L4/B14</f>
        <v>0.1388888888888889</v>
      </c>
      <c r="N4">
        <f>SUMIF(DISs!$O$2:$O$495,"personal",DISs!$D$2:$D$495)</f>
        <v>6</v>
      </c>
      <c r="O4">
        <f>SUMIF(DISs!$O$2:$O$495,"non-personal",DISs!$D$2:$D$495)</f>
        <v>2</v>
      </c>
    </row>
    <row r="7" spans="1:15" x14ac:dyDescent="0.35">
      <c r="A7" t="s">
        <v>97</v>
      </c>
      <c r="B7">
        <v>54</v>
      </c>
    </row>
    <row r="8" spans="1:15" x14ac:dyDescent="0.35">
      <c r="A8" s="4"/>
      <c r="B8" s="4"/>
    </row>
    <row r="9" spans="1:15" x14ac:dyDescent="0.35">
      <c r="A9" s="4"/>
      <c r="B9" s="4"/>
    </row>
    <row r="10" spans="1:15" x14ac:dyDescent="0.35">
      <c r="A10" s="4"/>
      <c r="B10" s="4"/>
    </row>
    <row r="13" spans="1:15" x14ac:dyDescent="0.35">
      <c r="A13" s="4" t="s">
        <v>202</v>
      </c>
      <c r="B13" s="4">
        <f>COUNTIF(DISs!$N$2:$N$495,"mono")</f>
        <v>18</v>
      </c>
    </row>
    <row r="14" spans="1:15" x14ac:dyDescent="0.35">
      <c r="A14" s="4" t="s">
        <v>201</v>
      </c>
      <c r="B14" s="4">
        <f>COUNTIF(DISs!$N$2:$N$495,"multi")</f>
        <v>36</v>
      </c>
    </row>
    <row r="15" spans="1:15" x14ac:dyDescent="0.35">
      <c r="A15" s="4" t="s">
        <v>198</v>
      </c>
      <c r="B15" s="4">
        <f>COUNTIF(DISs!$N$2:$N$495,"agriculture")</f>
        <v>0</v>
      </c>
    </row>
    <row r="16" spans="1:15" x14ac:dyDescent="0.35">
      <c r="A16" t="s">
        <v>103</v>
      </c>
    </row>
    <row r="17" spans="1:3" x14ac:dyDescent="0.35">
      <c r="A17" s="4" t="s">
        <v>189</v>
      </c>
      <c r="B17" s="4">
        <f>COUNTIF(DISs!$L$2:$L$495,"subject")</f>
        <v>35</v>
      </c>
    </row>
    <row r="18" spans="1:3" x14ac:dyDescent="0.35">
      <c r="A18" s="4" t="s">
        <v>133</v>
      </c>
      <c r="B18" s="4">
        <f>COUNTIF(DISs!$L$2:$L$495,"enabler")</f>
        <v>19</v>
      </c>
    </row>
    <row r="19" spans="1:3" x14ac:dyDescent="0.35">
      <c r="A19" s="4" t="s">
        <v>115</v>
      </c>
      <c r="B19" s="4">
        <f>COUNTIF(DISs!$L$2:$L$495,"cooperative")</f>
        <v>0</v>
      </c>
    </row>
    <row r="26" spans="1:3" x14ac:dyDescent="0.35">
      <c r="A26" s="1" t="s">
        <v>146</v>
      </c>
      <c r="B26" s="1" t="s">
        <v>147</v>
      </c>
    </row>
    <row r="27" spans="1:3" x14ac:dyDescent="0.35">
      <c r="A27">
        <v>0</v>
      </c>
      <c r="B27">
        <f>COUNTIF(DISs!$E$2:$E$495,A27)</f>
        <v>38</v>
      </c>
      <c r="C27" t="s">
        <v>192</v>
      </c>
    </row>
    <row r="28" spans="1:3" x14ac:dyDescent="0.35">
      <c r="A28">
        <v>1</v>
      </c>
      <c r="B28">
        <f>COUNTIF(DISs!$E$2:$E$495,A28)</f>
        <v>7</v>
      </c>
      <c r="C28" t="s">
        <v>193</v>
      </c>
    </row>
    <row r="29" spans="1:3" x14ac:dyDescent="0.35">
      <c r="A29">
        <v>2</v>
      </c>
      <c r="B29">
        <f>COUNTIF(DISs!$E$2:$E$495,A29)</f>
        <v>4</v>
      </c>
      <c r="C29" t="s">
        <v>194</v>
      </c>
    </row>
    <row r="30" spans="1:3" x14ac:dyDescent="0.35">
      <c r="A30">
        <v>3</v>
      </c>
      <c r="B30">
        <f>COUNTIF(DISs!$E$2:$E$495,A30)</f>
        <v>5</v>
      </c>
      <c r="C30" t="s">
        <v>195</v>
      </c>
    </row>
    <row r="31" spans="1:3" x14ac:dyDescent="0.35">
      <c r="A31">
        <v>4</v>
      </c>
      <c r="B31">
        <f>COUNTIF(DISs!$E$2:$E$495,A31)</f>
        <v>0</v>
      </c>
      <c r="C31" t="s">
        <v>196</v>
      </c>
    </row>
    <row r="32" spans="1:3" x14ac:dyDescent="0.35">
      <c r="A32">
        <v>5</v>
      </c>
      <c r="B32">
        <f>COUNTIF(DISs!$E$2:$E$495,A32)</f>
        <v>0</v>
      </c>
      <c r="C32" t="s">
        <v>197</v>
      </c>
    </row>
    <row r="34" spans="33:33" x14ac:dyDescent="0.35">
      <c r="AG34" t="s">
        <v>186</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247C4-C354-4A28-A629-E58703320834}">
  <dimension ref="A1:AG34"/>
  <sheetViews>
    <sheetView zoomScale="89" workbookViewId="0">
      <selection activeCell="K23" sqref="K23"/>
    </sheetView>
  </sheetViews>
  <sheetFormatPr defaultRowHeight="14.5" x14ac:dyDescent="0.35"/>
  <cols>
    <col min="1" max="1" width="25.08984375" bestFit="1" customWidth="1"/>
    <col min="3" max="3" width="9.36328125" bestFit="1" customWidth="1"/>
    <col min="5" max="5" width="8.7265625" style="19"/>
    <col min="7" max="7" width="8.7265625" style="19"/>
    <col min="9" max="9" width="8.7265625" style="19"/>
    <col min="13" max="13" width="8.7265625" style="19"/>
    <col min="15" max="15" width="10.90625" bestFit="1" customWidth="1"/>
  </cols>
  <sheetData>
    <row r="1" spans="1:15" x14ac:dyDescent="0.35">
      <c r="A1" s="6" t="s">
        <v>98</v>
      </c>
      <c r="B1" s="6" t="s">
        <v>99</v>
      </c>
      <c r="C1" s="6" t="s">
        <v>100</v>
      </c>
      <c r="D1" s="8" t="s">
        <v>139</v>
      </c>
      <c r="E1" s="21" t="s">
        <v>140</v>
      </c>
      <c r="F1" s="8" t="s">
        <v>141</v>
      </c>
      <c r="G1" s="21" t="s">
        <v>142</v>
      </c>
      <c r="H1" s="8" t="s">
        <v>143</v>
      </c>
      <c r="I1" s="21" t="s">
        <v>144</v>
      </c>
      <c r="J1" s="9" t="s">
        <v>199</v>
      </c>
      <c r="K1" s="9" t="s">
        <v>100</v>
      </c>
      <c r="L1" s="9" t="s">
        <v>185</v>
      </c>
      <c r="M1" s="20" t="s">
        <v>100</v>
      </c>
      <c r="N1" s="17" t="s">
        <v>187</v>
      </c>
      <c r="O1" s="17" t="s">
        <v>188</v>
      </c>
    </row>
    <row r="2" spans="1:15" x14ac:dyDescent="0.35">
      <c r="A2" t="s">
        <v>107</v>
      </c>
      <c r="B2">
        <f>SUM(DISs!$B$2:$B$98)</f>
        <v>13</v>
      </c>
      <c r="C2" s="18">
        <f>B2/$B$7</f>
        <v>0.24074074074074073</v>
      </c>
      <c r="D2">
        <f>SUMIF(DISs!$L$2:$L$495,"subject",DISs!$B$2:$B$495)</f>
        <v>9</v>
      </c>
      <c r="E2" s="19">
        <f>D2/$B$17</f>
        <v>0.25714285714285712</v>
      </c>
      <c r="F2">
        <f>SUMIF(DISs!$L$2:$L$495,"enabler",DISs!$B$2:$B$495)</f>
        <v>4</v>
      </c>
      <c r="G2" s="19">
        <f>F2/$B$18</f>
        <v>0.21052631578947367</v>
      </c>
      <c r="H2">
        <f>SUMIF(DISs!$L$2:$L$495,"cooperative",DISs!$B$2:$B$495)</f>
        <v>0</v>
      </c>
      <c r="I2" s="19" t="e">
        <f>H2*100/$B$19</f>
        <v>#DIV/0!</v>
      </c>
      <c r="J2">
        <f>SUMIF(DISs!$N$2:$N$495,"mono",DISs!$B$2:$B$495)</f>
        <v>7</v>
      </c>
      <c r="K2" s="19">
        <f>J2/B13</f>
        <v>0.3888888888888889</v>
      </c>
      <c r="L2">
        <f>SUMIF(DISs!$N$2:$N$495,"multi",DISs!$B$2:$B$495)</f>
        <v>6</v>
      </c>
      <c r="M2" s="19">
        <f>L2/B14</f>
        <v>0.16666666666666666</v>
      </c>
      <c r="N2">
        <f>SUMIF(DISs!$O$2:$O$495,"personal",DISs!$B$2:$B$495)</f>
        <v>5</v>
      </c>
      <c r="O2">
        <f>SUMIF(DISs!$O$2:$O$495,"non-personal",DISs!$B$2:$B$495)</f>
        <v>3</v>
      </c>
    </row>
    <row r="3" spans="1:15" x14ac:dyDescent="0.35">
      <c r="A3" t="s">
        <v>108</v>
      </c>
      <c r="B3">
        <f>SUM(DISs!$C$2:$C$98)</f>
        <v>5</v>
      </c>
      <c r="C3" s="18">
        <f>B3/$B$7</f>
        <v>9.2592592592592587E-2</v>
      </c>
      <c r="D3">
        <f>SUMIF(DISs!$L$2:$L$495,"subject",DISs!$C$2:$C$495)</f>
        <v>4</v>
      </c>
      <c r="E3" s="19">
        <f>D3/$B$17</f>
        <v>0.11428571428571428</v>
      </c>
      <c r="F3">
        <f>SUMIF(DISs!$L$2:$L$495,"enabler",DISs!$C$2:$C$495)</f>
        <v>1</v>
      </c>
      <c r="G3" s="19">
        <f>F3/$B$18</f>
        <v>5.2631578947368418E-2</v>
      </c>
      <c r="H3">
        <f>SUMIF(DISs!$L$2:$L$495,"cooperative",DISs!$C$2:$C$495)</f>
        <v>0</v>
      </c>
      <c r="I3" s="19" t="e">
        <f>H3*100/$B$19</f>
        <v>#DIV/0!</v>
      </c>
      <c r="J3">
        <f>SUMIF(DISs!$N$2:$N$495,"mono",DISs!$C$2:$C$495)</f>
        <v>5</v>
      </c>
      <c r="K3" s="19">
        <f>J3/B13</f>
        <v>0.27777777777777779</v>
      </c>
      <c r="L3">
        <f>SUMIF(DISs!$N$2:$N$495,"multi",DISs!$C$2:$C$495)</f>
        <v>0</v>
      </c>
      <c r="M3" s="19">
        <f>L3/B14</f>
        <v>0</v>
      </c>
      <c r="N3">
        <f>SUMIF(DISs!$O$2:$O$495,"personal",DISs!$C$2:$C$495)</f>
        <v>4</v>
      </c>
      <c r="O3">
        <f>SUMIF(DISs!$O$2:$O$495,"non-personal",DISs!$C$2:$C$495)</f>
        <v>1</v>
      </c>
    </row>
    <row r="4" spans="1:15" x14ac:dyDescent="0.35">
      <c r="A4" t="s">
        <v>191</v>
      </c>
      <c r="B4">
        <f>SUM(DISs!$D$2:$D$98)</f>
        <v>12</v>
      </c>
      <c r="C4" s="18">
        <f>B4/$B$7</f>
        <v>0.22222222222222221</v>
      </c>
      <c r="D4">
        <f>SUMIF(DISs!$L$2:$L$495,"subject",DISs!$D$2:$D$495)</f>
        <v>10</v>
      </c>
      <c r="E4" s="19">
        <f>D4/$B$17</f>
        <v>0.2857142857142857</v>
      </c>
      <c r="F4">
        <f>SUMIF(DISs!$L$2:$L$495,"enabler",DISs!$D$2:$D$495)</f>
        <v>2</v>
      </c>
      <c r="G4" s="19">
        <f>F4/$B$18</f>
        <v>0.10526315789473684</v>
      </c>
      <c r="H4">
        <f>SUMIF(DISs!$L$2:$L$495,"cooperative",DISs!$D$2:$D$495)</f>
        <v>0</v>
      </c>
      <c r="I4" s="19" t="e">
        <f>H4*100/$B$19</f>
        <v>#DIV/0!</v>
      </c>
      <c r="J4">
        <f>SUMIF(DISs!$N$2:$N$495,"mono",DISs!$D$2:$D$495)</f>
        <v>7</v>
      </c>
      <c r="K4" s="19">
        <f>J4/B13</f>
        <v>0.3888888888888889</v>
      </c>
      <c r="L4">
        <f>SUMIF(DISs!$N$2:$N$495,"multi",DISs!$D$2:$D$495)</f>
        <v>5</v>
      </c>
      <c r="M4" s="19">
        <f>L4/B14</f>
        <v>0.1388888888888889</v>
      </c>
      <c r="N4">
        <f>SUMIF(DISs!$O$2:$O$495,"personal",DISs!$D$2:$D$495)</f>
        <v>6</v>
      </c>
      <c r="O4">
        <f>SUMIF(DISs!$O$2:$O$495,"non-personal",DISs!$D$2:$D$495)</f>
        <v>2</v>
      </c>
    </row>
    <row r="7" spans="1:15" x14ac:dyDescent="0.35">
      <c r="A7" t="s">
        <v>97</v>
      </c>
      <c r="B7">
        <v>54</v>
      </c>
    </row>
    <row r="8" spans="1:15" x14ac:dyDescent="0.35">
      <c r="A8" s="4"/>
      <c r="B8" s="4"/>
    </row>
    <row r="9" spans="1:15" x14ac:dyDescent="0.35">
      <c r="A9" s="4"/>
      <c r="B9" s="4"/>
    </row>
    <row r="10" spans="1:15" x14ac:dyDescent="0.35">
      <c r="A10" s="4"/>
      <c r="B10" s="4"/>
    </row>
    <row r="13" spans="1:15" x14ac:dyDescent="0.35">
      <c r="A13" s="4" t="s">
        <v>202</v>
      </c>
      <c r="B13" s="4">
        <f>COUNTIF(DISs!$N$2:$N$495,"mono")</f>
        <v>18</v>
      </c>
    </row>
    <row r="14" spans="1:15" x14ac:dyDescent="0.35">
      <c r="A14" s="4" t="s">
        <v>201</v>
      </c>
      <c r="B14" s="4">
        <f>COUNTIF(DISs!$N$2:$N$495,"multi")</f>
        <v>36</v>
      </c>
    </row>
    <row r="15" spans="1:15" x14ac:dyDescent="0.35">
      <c r="A15" s="4" t="s">
        <v>198</v>
      </c>
      <c r="B15" s="4">
        <f>COUNTIF(DISs!$N$2:$N$495,"agriculture")</f>
        <v>0</v>
      </c>
    </row>
    <row r="16" spans="1:15" x14ac:dyDescent="0.35">
      <c r="A16" t="s">
        <v>103</v>
      </c>
    </row>
    <row r="17" spans="1:3" x14ac:dyDescent="0.35">
      <c r="A17" s="4" t="s">
        <v>189</v>
      </c>
      <c r="B17" s="4">
        <f>COUNTIF(DISs!$L$2:$L$495,"subject")</f>
        <v>35</v>
      </c>
    </row>
    <row r="18" spans="1:3" x14ac:dyDescent="0.35">
      <c r="A18" s="4" t="s">
        <v>133</v>
      </c>
      <c r="B18" s="4">
        <f>COUNTIF(DISs!$L$2:$L$495,"enabler")</f>
        <v>19</v>
      </c>
    </row>
    <row r="19" spans="1:3" x14ac:dyDescent="0.35">
      <c r="A19" s="4" t="s">
        <v>115</v>
      </c>
      <c r="B19" s="4">
        <f>COUNTIF(DISs!$L$2:$L$495,"cooperative")</f>
        <v>0</v>
      </c>
    </row>
    <row r="26" spans="1:3" x14ac:dyDescent="0.35">
      <c r="A26" s="1" t="s">
        <v>146</v>
      </c>
      <c r="B26" s="1" t="s">
        <v>147</v>
      </c>
    </row>
    <row r="27" spans="1:3" x14ac:dyDescent="0.35">
      <c r="A27">
        <v>0</v>
      </c>
      <c r="B27">
        <f>COUNTIF(DISs!$E$2:$E$495,A27)</f>
        <v>38</v>
      </c>
      <c r="C27" t="s">
        <v>192</v>
      </c>
    </row>
    <row r="28" spans="1:3" x14ac:dyDescent="0.35">
      <c r="A28">
        <v>1</v>
      </c>
      <c r="B28">
        <f>COUNTIF(DISs!$E$2:$E$495,A28)</f>
        <v>7</v>
      </c>
      <c r="C28" t="s">
        <v>193</v>
      </c>
    </row>
    <row r="29" spans="1:3" x14ac:dyDescent="0.35">
      <c r="A29">
        <v>2</v>
      </c>
      <c r="B29">
        <f>COUNTIF(DISs!$E$2:$E$495,A29)</f>
        <v>4</v>
      </c>
      <c r="C29" t="s">
        <v>194</v>
      </c>
    </row>
    <row r="30" spans="1:3" x14ac:dyDescent="0.35">
      <c r="A30">
        <v>3</v>
      </c>
      <c r="B30">
        <f>COUNTIF(DISs!$E$2:$E$495,A30)</f>
        <v>5</v>
      </c>
      <c r="C30" t="s">
        <v>195</v>
      </c>
    </row>
    <row r="31" spans="1:3" x14ac:dyDescent="0.35">
      <c r="A31">
        <v>4</v>
      </c>
      <c r="B31">
        <f>COUNTIF(DISs!$E$2:$E$495,A31)</f>
        <v>0</v>
      </c>
      <c r="C31" t="s">
        <v>196</v>
      </c>
    </row>
    <row r="32" spans="1:3" x14ac:dyDescent="0.35">
      <c r="A32">
        <v>5</v>
      </c>
      <c r="B32">
        <f>COUNTIF(DISs!$E$2:$E$495,A32)</f>
        <v>0</v>
      </c>
      <c r="C32" t="s">
        <v>197</v>
      </c>
    </row>
    <row r="34" spans="33:33" x14ac:dyDescent="0.35">
      <c r="AG34" t="s">
        <v>186</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805DD-3F51-4E34-BA65-2785FF83D295}">
  <dimension ref="A1:AG34"/>
  <sheetViews>
    <sheetView topLeftCell="A15" zoomScale="89" workbookViewId="0">
      <selection activeCell="O19" sqref="O19"/>
    </sheetView>
  </sheetViews>
  <sheetFormatPr defaultRowHeight="14.5" x14ac:dyDescent="0.35"/>
  <cols>
    <col min="1" max="1" width="25.08984375" bestFit="1" customWidth="1"/>
    <col min="3" max="3" width="9.36328125" bestFit="1" customWidth="1"/>
    <col min="5" max="5" width="8.7265625" style="19"/>
    <col min="7" max="7" width="8.7265625" style="19"/>
    <col min="9" max="9" width="8.7265625" style="19"/>
    <col min="13" max="13" width="8.7265625" style="19"/>
    <col min="15" max="15" width="10.90625" bestFit="1" customWidth="1"/>
  </cols>
  <sheetData>
    <row r="1" spans="1:15" x14ac:dyDescent="0.35">
      <c r="A1" s="6" t="s">
        <v>98</v>
      </c>
      <c r="B1" s="6" t="s">
        <v>99</v>
      </c>
      <c r="C1" s="6" t="s">
        <v>100</v>
      </c>
      <c r="D1" s="8" t="s">
        <v>139</v>
      </c>
      <c r="E1" s="21" t="s">
        <v>140</v>
      </c>
      <c r="F1" s="8" t="s">
        <v>141</v>
      </c>
      <c r="G1" s="21" t="s">
        <v>142</v>
      </c>
      <c r="H1" s="8" t="s">
        <v>143</v>
      </c>
      <c r="I1" s="21" t="s">
        <v>144</v>
      </c>
      <c r="J1" s="9" t="s">
        <v>199</v>
      </c>
      <c r="K1" s="9" t="s">
        <v>100</v>
      </c>
      <c r="L1" s="9" t="s">
        <v>185</v>
      </c>
      <c r="M1" s="20" t="s">
        <v>100</v>
      </c>
      <c r="N1" s="17" t="s">
        <v>187</v>
      </c>
      <c r="O1" s="17" t="s">
        <v>188</v>
      </c>
    </row>
    <row r="2" spans="1:15" x14ac:dyDescent="0.35">
      <c r="A2" t="s">
        <v>107</v>
      </c>
      <c r="B2">
        <f>SUM(DISs!$B$2:$B$98)</f>
        <v>13</v>
      </c>
      <c r="C2" s="18">
        <f>B2/$B$7</f>
        <v>0.24074074074074073</v>
      </c>
      <c r="D2">
        <f>SUMIF(DISs!$L$2:$L$495,"subject",DISs!$B$2:$B$495)</f>
        <v>9</v>
      </c>
      <c r="E2" s="19">
        <f>D2/$B$17</f>
        <v>0.25714285714285712</v>
      </c>
      <c r="F2">
        <f>SUMIF(DISs!$L$2:$L$495,"enabler",DISs!$B$2:$B$495)</f>
        <v>4</v>
      </c>
      <c r="G2" s="19">
        <f>F2/$B$18</f>
        <v>0.21052631578947367</v>
      </c>
      <c r="H2">
        <f>SUMIF(DISs!$L$2:$L$495,"cooperative",DISs!$B$2:$B$495)</f>
        <v>0</v>
      </c>
      <c r="I2" s="19" t="e">
        <f>H2*100/$B$19</f>
        <v>#DIV/0!</v>
      </c>
      <c r="J2">
        <f>SUMIF(DISs!$N$2:$N$495,"mono",DISs!$B$2:$B$495)</f>
        <v>7</v>
      </c>
      <c r="K2" s="19">
        <f>J2/B13</f>
        <v>0.3888888888888889</v>
      </c>
      <c r="L2">
        <f>SUMIF(DISs!$N$2:$N$495,"multi",DISs!$B$2:$B$495)</f>
        <v>6</v>
      </c>
      <c r="M2" s="19">
        <f>L2/B14</f>
        <v>0.16666666666666666</v>
      </c>
      <c r="N2">
        <f>SUMIF(DISs!$O$2:$O$495,"personal",DISs!$B$2:$B$495)</f>
        <v>5</v>
      </c>
      <c r="O2">
        <f>SUMIF(DISs!$O$2:$O$495,"non-personal",DISs!$B$2:$B$495)</f>
        <v>3</v>
      </c>
    </row>
    <row r="3" spans="1:15" x14ac:dyDescent="0.35">
      <c r="A3" t="s">
        <v>108</v>
      </c>
      <c r="B3">
        <f>SUM(DISs!$C$2:$C$98)</f>
        <v>5</v>
      </c>
      <c r="C3" s="18">
        <f>B3/$B$7</f>
        <v>9.2592592592592587E-2</v>
      </c>
      <c r="D3">
        <f>SUMIF(DISs!$L$2:$L$495,"subject",DISs!$C$2:$C$495)</f>
        <v>4</v>
      </c>
      <c r="E3" s="19">
        <f>D3/$B$17</f>
        <v>0.11428571428571428</v>
      </c>
      <c r="F3">
        <f>SUMIF(DISs!$L$2:$L$495,"enabler",DISs!$C$2:$C$495)</f>
        <v>1</v>
      </c>
      <c r="G3" s="19">
        <f>F3/$B$18</f>
        <v>5.2631578947368418E-2</v>
      </c>
      <c r="H3">
        <f>SUMIF(DISs!$L$2:$L$495,"cooperative",DISs!$C$2:$C$495)</f>
        <v>0</v>
      </c>
      <c r="I3" s="19" t="e">
        <f>H3*100/$B$19</f>
        <v>#DIV/0!</v>
      </c>
      <c r="J3">
        <f>SUMIF(DISs!$N$2:$N$495,"mono",DISs!$C$2:$C$495)</f>
        <v>5</v>
      </c>
      <c r="K3" s="19">
        <f>J3/B13</f>
        <v>0.27777777777777779</v>
      </c>
      <c r="L3">
        <f>SUMIF(DISs!$N$2:$N$495,"multi",DISs!$C$2:$C$495)</f>
        <v>0</v>
      </c>
      <c r="M3" s="19">
        <f>L3/B14</f>
        <v>0</v>
      </c>
      <c r="N3">
        <f>SUMIF(DISs!$O$2:$O$495,"personal",DISs!$C$2:$C$495)</f>
        <v>4</v>
      </c>
      <c r="O3">
        <f>SUMIF(DISs!$O$2:$O$495,"non-personal",DISs!$C$2:$C$495)</f>
        <v>1</v>
      </c>
    </row>
    <row r="4" spans="1:15" x14ac:dyDescent="0.35">
      <c r="A4" t="s">
        <v>191</v>
      </c>
      <c r="B4">
        <f>SUM(DISs!$D$2:$D$98)</f>
        <v>12</v>
      </c>
      <c r="C4" s="18">
        <f>B4/$B$7</f>
        <v>0.22222222222222221</v>
      </c>
      <c r="D4">
        <f>SUMIF(DISs!$L$2:$L$495,"subject",DISs!$D$2:$D$495)</f>
        <v>10</v>
      </c>
      <c r="E4" s="19">
        <f>D4/$B$17</f>
        <v>0.2857142857142857</v>
      </c>
      <c r="F4">
        <f>SUMIF(DISs!$L$2:$L$495,"enabler",DISs!$D$2:$D$495)</f>
        <v>2</v>
      </c>
      <c r="G4" s="19">
        <f>F4/$B$18</f>
        <v>0.10526315789473684</v>
      </c>
      <c r="H4">
        <f>SUMIF(DISs!$L$2:$L$495,"cooperative",DISs!$D$2:$D$495)</f>
        <v>0</v>
      </c>
      <c r="I4" s="19" t="e">
        <f>H4*100/$B$19</f>
        <v>#DIV/0!</v>
      </c>
      <c r="J4">
        <f>SUMIF(DISs!$N$2:$N$495,"mono",DISs!$D$2:$D$495)</f>
        <v>7</v>
      </c>
      <c r="K4" s="19">
        <f>J4/B13</f>
        <v>0.3888888888888889</v>
      </c>
      <c r="L4">
        <f>SUMIF(DISs!$N$2:$N$495,"multi",DISs!$D$2:$D$495)</f>
        <v>5</v>
      </c>
      <c r="M4" s="19">
        <f>L4/B14</f>
        <v>0.1388888888888889</v>
      </c>
      <c r="N4">
        <f>SUMIF(DISs!$O$2:$O$495,"personal",DISs!$D$2:$D$495)</f>
        <v>6</v>
      </c>
      <c r="O4">
        <f>SUMIF(DISs!$O$2:$O$495,"non-personal",DISs!$D$2:$D$495)</f>
        <v>2</v>
      </c>
    </row>
    <row r="7" spans="1:15" x14ac:dyDescent="0.35">
      <c r="A7" t="s">
        <v>97</v>
      </c>
      <c r="B7">
        <v>54</v>
      </c>
    </row>
    <row r="8" spans="1:15" x14ac:dyDescent="0.35">
      <c r="A8" s="4"/>
      <c r="B8" s="4"/>
    </row>
    <row r="9" spans="1:15" x14ac:dyDescent="0.35">
      <c r="A9" s="4"/>
      <c r="B9" s="4"/>
    </row>
    <row r="10" spans="1:15" x14ac:dyDescent="0.35">
      <c r="A10" s="4"/>
      <c r="B10" s="4"/>
    </row>
    <row r="13" spans="1:15" x14ac:dyDescent="0.35">
      <c r="A13" s="4" t="s">
        <v>202</v>
      </c>
      <c r="B13" s="4">
        <f>COUNTIF(DISs!$N$2:$N$495,"mono")</f>
        <v>18</v>
      </c>
    </row>
    <row r="14" spans="1:15" x14ac:dyDescent="0.35">
      <c r="A14" s="4" t="s">
        <v>201</v>
      </c>
      <c r="B14" s="4">
        <f>COUNTIF(DISs!$N$2:$N$495,"multi")</f>
        <v>36</v>
      </c>
    </row>
    <row r="15" spans="1:15" x14ac:dyDescent="0.35">
      <c r="A15" s="4" t="s">
        <v>198</v>
      </c>
      <c r="B15" s="4">
        <f>COUNTIF(DISs!$N$2:$N$495,"agriculture")</f>
        <v>0</v>
      </c>
    </row>
    <row r="16" spans="1:15" x14ac:dyDescent="0.35">
      <c r="A16" t="s">
        <v>103</v>
      </c>
    </row>
    <row r="17" spans="1:3" x14ac:dyDescent="0.35">
      <c r="A17" s="4" t="s">
        <v>189</v>
      </c>
      <c r="B17" s="4">
        <f>COUNTIF(DISs!$L$2:$L$495,"subject")</f>
        <v>35</v>
      </c>
    </row>
    <row r="18" spans="1:3" x14ac:dyDescent="0.35">
      <c r="A18" s="4" t="s">
        <v>133</v>
      </c>
      <c r="B18" s="4">
        <f>COUNTIF(DISs!$L$2:$L$495,"enabler")</f>
        <v>19</v>
      </c>
    </row>
    <row r="19" spans="1:3" x14ac:dyDescent="0.35">
      <c r="A19" s="4" t="s">
        <v>115</v>
      </c>
      <c r="B19" s="4">
        <f>COUNTIF(DISs!$L$2:$L$495,"cooperative")</f>
        <v>0</v>
      </c>
    </row>
    <row r="26" spans="1:3" x14ac:dyDescent="0.35">
      <c r="A26" s="1" t="s">
        <v>146</v>
      </c>
      <c r="B26" s="1" t="s">
        <v>147</v>
      </c>
    </row>
    <row r="27" spans="1:3" x14ac:dyDescent="0.35">
      <c r="A27">
        <v>0</v>
      </c>
      <c r="B27">
        <f>COUNTIF(DISs!$E$2:$E$495,A27)</f>
        <v>38</v>
      </c>
      <c r="C27" t="s">
        <v>192</v>
      </c>
    </row>
    <row r="28" spans="1:3" x14ac:dyDescent="0.35">
      <c r="A28">
        <v>1</v>
      </c>
      <c r="B28">
        <f>COUNTIF(DISs!$E$2:$E$495,A28)</f>
        <v>7</v>
      </c>
      <c r="C28" t="s">
        <v>193</v>
      </c>
    </row>
    <row r="29" spans="1:3" x14ac:dyDescent="0.35">
      <c r="A29">
        <v>2</v>
      </c>
      <c r="B29">
        <f>COUNTIF(DISs!$E$2:$E$495,A29)</f>
        <v>4</v>
      </c>
      <c r="C29" t="s">
        <v>194</v>
      </c>
    </row>
    <row r="30" spans="1:3" x14ac:dyDescent="0.35">
      <c r="A30">
        <v>3</v>
      </c>
      <c r="B30">
        <f>COUNTIF(DISs!$E$2:$E$495,A30)</f>
        <v>5</v>
      </c>
      <c r="C30" t="s">
        <v>195</v>
      </c>
    </row>
    <row r="31" spans="1:3" x14ac:dyDescent="0.35">
      <c r="A31">
        <v>4</v>
      </c>
      <c r="B31">
        <f>COUNTIF(DISs!$E$2:$E$495,A31)</f>
        <v>0</v>
      </c>
      <c r="C31" t="s">
        <v>196</v>
      </c>
    </row>
    <row r="32" spans="1:3" x14ac:dyDescent="0.35">
      <c r="A32">
        <v>5</v>
      </c>
      <c r="B32">
        <f>COUNTIF(DISs!$E$2:$E$495,A32)</f>
        <v>0</v>
      </c>
      <c r="C32" t="s">
        <v>197</v>
      </c>
    </row>
    <row r="34" spans="33:33" x14ac:dyDescent="0.35">
      <c r="AG34" t="s">
        <v>186</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35183-800E-48BF-92B2-D7032FAD890E}">
  <dimension ref="A1:Y71"/>
  <sheetViews>
    <sheetView tabSelected="1" zoomScaleNormal="100" workbookViewId="0">
      <pane ySplit="2" topLeftCell="A47" activePane="bottomLeft" state="frozen"/>
      <selection pane="bottomLeft" activeCell="B5" sqref="B5"/>
    </sheetView>
  </sheetViews>
  <sheetFormatPr defaultRowHeight="14.5" x14ac:dyDescent="0.35"/>
  <cols>
    <col min="1" max="1" width="17.453125" style="5" bestFit="1" customWidth="1"/>
    <col min="2" max="2" width="19.08984375" style="3" bestFit="1" customWidth="1"/>
    <col min="3" max="3" width="26.54296875" style="3" bestFit="1" customWidth="1"/>
    <col min="4" max="4" width="37.453125" style="3" customWidth="1"/>
    <col min="5" max="5" width="4.7265625" style="3" bestFit="1" customWidth="1"/>
    <col min="6" max="6" width="18.36328125" style="3" bestFit="1" customWidth="1"/>
    <col min="7" max="8" width="0" style="3" hidden="1" customWidth="1"/>
    <col min="9" max="9" width="11.453125" style="10" hidden="1" customWidth="1"/>
    <col min="10" max="10" width="10.54296875" style="10" hidden="1" customWidth="1"/>
    <col min="11" max="11" width="14.08984375" style="5" hidden="1" customWidth="1"/>
    <col min="12" max="12" width="7.7265625" style="5" customWidth="1"/>
    <col min="13" max="13" width="8.453125" hidden="1" customWidth="1"/>
    <col min="14" max="14" width="11.1796875" style="5" bestFit="1" customWidth="1"/>
    <col min="15" max="15" width="13.90625" style="15" customWidth="1"/>
  </cols>
  <sheetData>
    <row r="1" spans="1:18" s="1" customFormat="1" x14ac:dyDescent="0.35">
      <c r="A1" s="1" t="s">
        <v>19</v>
      </c>
      <c r="B1" s="1" t="s">
        <v>151</v>
      </c>
      <c r="C1" s="1" t="s">
        <v>64</v>
      </c>
      <c r="D1" s="1" t="s">
        <v>109</v>
      </c>
      <c r="E1" s="1" t="s">
        <v>145</v>
      </c>
      <c r="F1" s="1" t="s">
        <v>0</v>
      </c>
      <c r="G1" s="1" t="s">
        <v>3</v>
      </c>
      <c r="H1" s="1" t="s">
        <v>1</v>
      </c>
      <c r="I1" s="1" t="s">
        <v>2</v>
      </c>
      <c r="J1" s="1" t="s">
        <v>101</v>
      </c>
      <c r="K1" s="1" t="s">
        <v>102</v>
      </c>
      <c r="L1" s="1" t="s">
        <v>153</v>
      </c>
      <c r="M1" s="1" t="s">
        <v>154</v>
      </c>
      <c r="N1" s="1" t="s">
        <v>76</v>
      </c>
      <c r="O1" s="1" t="s">
        <v>180</v>
      </c>
      <c r="P1" s="1" t="s">
        <v>157</v>
      </c>
      <c r="Q1" s="1" t="s">
        <v>158</v>
      </c>
      <c r="R1" s="1" t="s">
        <v>160</v>
      </c>
    </row>
    <row r="2" spans="1:18" x14ac:dyDescent="0.35">
      <c r="A2" t="s">
        <v>73</v>
      </c>
      <c r="B2">
        <v>1</v>
      </c>
      <c r="C2">
        <v>0</v>
      </c>
      <c r="D2">
        <v>1</v>
      </c>
      <c r="E2">
        <f t="shared" ref="E2:E33" si="0">SUM(B2:D2)</f>
        <v>2</v>
      </c>
      <c r="F2" t="e" vm="1">
        <v>#VALUE!</v>
      </c>
      <c r="G2" t="s">
        <v>9</v>
      </c>
      <c r="H2">
        <v>2017</v>
      </c>
      <c r="I2" t="s">
        <v>58</v>
      </c>
      <c r="J2" t="s">
        <v>6</v>
      </c>
      <c r="K2" t="s">
        <v>6</v>
      </c>
      <c r="L2" t="s">
        <v>167</v>
      </c>
      <c r="N2" t="s">
        <v>75</v>
      </c>
      <c r="O2"/>
      <c r="P2" t="s">
        <v>161</v>
      </c>
      <c r="Q2" t="s">
        <v>204</v>
      </c>
    </row>
    <row r="3" spans="1:18" x14ac:dyDescent="0.35">
      <c r="A3" t="s">
        <v>41</v>
      </c>
      <c r="B3">
        <v>0</v>
      </c>
      <c r="C3">
        <v>0</v>
      </c>
      <c r="D3">
        <v>0</v>
      </c>
      <c r="E3">
        <f t="shared" si="0"/>
        <v>0</v>
      </c>
      <c r="F3" t="e" vm="2">
        <v>#VALUE!</v>
      </c>
      <c r="G3" t="s">
        <v>47</v>
      </c>
      <c r="H3">
        <v>2021</v>
      </c>
      <c r="I3">
        <v>2023</v>
      </c>
      <c r="J3" t="s">
        <v>6</v>
      </c>
      <c r="K3" t="s">
        <v>6</v>
      </c>
      <c r="L3" t="s">
        <v>167</v>
      </c>
      <c r="N3" t="s">
        <v>200</v>
      </c>
      <c r="O3" t="s">
        <v>180</v>
      </c>
      <c r="P3" t="s">
        <v>162</v>
      </c>
    </row>
    <row r="4" spans="1:18" x14ac:dyDescent="0.35">
      <c r="A4" t="s">
        <v>77</v>
      </c>
      <c r="B4">
        <v>1</v>
      </c>
      <c r="C4">
        <v>0</v>
      </c>
      <c r="D4">
        <v>1</v>
      </c>
      <c r="E4">
        <f t="shared" si="0"/>
        <v>2</v>
      </c>
      <c r="F4" t="e" vm="3">
        <v>#VALUE!</v>
      </c>
      <c r="G4" t="s">
        <v>5</v>
      </c>
      <c r="H4">
        <v>2014</v>
      </c>
      <c r="I4" t="s">
        <v>58</v>
      </c>
      <c r="J4" t="s">
        <v>6</v>
      </c>
      <c r="K4" t="s">
        <v>6</v>
      </c>
      <c r="L4" t="s">
        <v>167</v>
      </c>
      <c r="M4" t="s">
        <v>155</v>
      </c>
      <c r="N4" t="s">
        <v>75</v>
      </c>
      <c r="O4"/>
      <c r="P4" t="s">
        <v>78</v>
      </c>
    </row>
    <row r="5" spans="1:18" x14ac:dyDescent="0.35">
      <c r="A5" t="s">
        <v>165</v>
      </c>
      <c r="B5">
        <v>0</v>
      </c>
      <c r="C5">
        <v>0</v>
      </c>
      <c r="D5">
        <v>0</v>
      </c>
      <c r="E5">
        <f t="shared" si="0"/>
        <v>0</v>
      </c>
      <c r="F5" t="e" vm="4">
        <v>#VALUE!</v>
      </c>
      <c r="G5"/>
      <c r="H5">
        <v>2015</v>
      </c>
      <c r="I5">
        <v>2018</v>
      </c>
      <c r="J5"/>
      <c r="K5"/>
      <c r="L5" t="s">
        <v>155</v>
      </c>
      <c r="N5" t="s">
        <v>75</v>
      </c>
      <c r="O5"/>
      <c r="P5" t="s">
        <v>203</v>
      </c>
    </row>
    <row r="6" spans="1:18" x14ac:dyDescent="0.35">
      <c r="A6" t="s">
        <v>122</v>
      </c>
      <c r="B6">
        <v>0</v>
      </c>
      <c r="C6">
        <v>0</v>
      </c>
      <c r="D6">
        <v>0</v>
      </c>
      <c r="E6">
        <f t="shared" si="0"/>
        <v>0</v>
      </c>
      <c r="F6" t="e" vm="5">
        <v>#VALUE!</v>
      </c>
      <c r="G6" t="s">
        <v>5</v>
      </c>
      <c r="H6"/>
      <c r="I6"/>
      <c r="J6"/>
      <c r="K6" t="s">
        <v>6</v>
      </c>
      <c r="L6" t="s">
        <v>167</v>
      </c>
      <c r="N6" t="s">
        <v>75</v>
      </c>
      <c r="O6"/>
      <c r="P6" t="s">
        <v>176</v>
      </c>
    </row>
    <row r="7" spans="1:18" x14ac:dyDescent="0.35">
      <c r="A7" t="s">
        <v>67</v>
      </c>
      <c r="B7">
        <v>0</v>
      </c>
      <c r="C7">
        <v>0</v>
      </c>
      <c r="D7">
        <v>0</v>
      </c>
      <c r="E7">
        <f t="shared" si="0"/>
        <v>0</v>
      </c>
      <c r="F7" t="e" vm="6">
        <v>#VALUE!</v>
      </c>
      <c r="G7" t="s">
        <v>5</v>
      </c>
      <c r="H7">
        <v>2017</v>
      </c>
      <c r="I7" t="s">
        <v>58</v>
      </c>
      <c r="J7" t="s">
        <v>6</v>
      </c>
      <c r="K7" t="s">
        <v>6</v>
      </c>
      <c r="L7" t="s">
        <v>167</v>
      </c>
      <c r="N7" t="s">
        <v>75</v>
      </c>
      <c r="O7"/>
      <c r="P7" t="s">
        <v>177</v>
      </c>
    </row>
    <row r="8" spans="1:18" x14ac:dyDescent="0.35">
      <c r="A8" t="s">
        <v>89</v>
      </c>
      <c r="B8">
        <v>0</v>
      </c>
      <c r="C8">
        <v>0</v>
      </c>
      <c r="D8">
        <v>0</v>
      </c>
      <c r="E8">
        <f t="shared" si="0"/>
        <v>0</v>
      </c>
      <c r="F8" t="e" vm="7">
        <v>#VALUE!</v>
      </c>
      <c r="G8" t="s">
        <v>5</v>
      </c>
      <c r="H8">
        <v>2018</v>
      </c>
      <c r="I8" t="s">
        <v>58</v>
      </c>
      <c r="J8" t="s">
        <v>6</v>
      </c>
      <c r="K8" t="s">
        <v>6</v>
      </c>
      <c r="L8" t="s">
        <v>167</v>
      </c>
      <c r="M8" t="s">
        <v>155</v>
      </c>
      <c r="N8" t="s">
        <v>75</v>
      </c>
      <c r="O8"/>
      <c r="P8" t="s">
        <v>90</v>
      </c>
    </row>
    <row r="9" spans="1:18" x14ac:dyDescent="0.35">
      <c r="A9" t="s">
        <v>127</v>
      </c>
      <c r="B9">
        <v>1</v>
      </c>
      <c r="C9">
        <v>0</v>
      </c>
      <c r="D9">
        <v>1</v>
      </c>
      <c r="E9">
        <f t="shared" si="0"/>
        <v>2</v>
      </c>
      <c r="F9" t="e" vm="6">
        <v>#VALUE!</v>
      </c>
      <c r="G9"/>
      <c r="H9"/>
      <c r="I9"/>
      <c r="J9"/>
      <c r="K9" t="s">
        <v>6</v>
      </c>
      <c r="L9" t="s">
        <v>155</v>
      </c>
      <c r="N9" t="s">
        <v>75</v>
      </c>
      <c r="O9" t="s">
        <v>181</v>
      </c>
      <c r="P9" t="s">
        <v>128</v>
      </c>
      <c r="Q9" t="s">
        <v>137</v>
      </c>
    </row>
    <row r="10" spans="1:18" x14ac:dyDescent="0.35">
      <c r="A10" t="s">
        <v>7</v>
      </c>
      <c r="B10">
        <v>0</v>
      </c>
      <c r="C10">
        <v>0</v>
      </c>
      <c r="D10">
        <v>0</v>
      </c>
      <c r="E10">
        <f t="shared" si="0"/>
        <v>0</v>
      </c>
      <c r="F10" t="e" vm="8">
        <v>#VALUE!</v>
      </c>
      <c r="G10" t="s">
        <v>5</v>
      </c>
      <c r="H10">
        <v>2009</v>
      </c>
      <c r="I10" t="s">
        <v>58</v>
      </c>
      <c r="J10" t="s">
        <v>6</v>
      </c>
      <c r="K10" t="s">
        <v>6</v>
      </c>
      <c r="L10" t="s">
        <v>167</v>
      </c>
      <c r="M10" t="s">
        <v>155</v>
      </c>
      <c r="N10" t="s">
        <v>75</v>
      </c>
      <c r="O10"/>
      <c r="P10" t="s">
        <v>159</v>
      </c>
      <c r="Q10" t="s">
        <v>106</v>
      </c>
    </row>
    <row r="11" spans="1:18" x14ac:dyDescent="0.35">
      <c r="A11" t="s">
        <v>156</v>
      </c>
      <c r="B11">
        <v>0</v>
      </c>
      <c r="C11">
        <v>0</v>
      </c>
      <c r="D11">
        <v>0</v>
      </c>
      <c r="E11">
        <f t="shared" si="0"/>
        <v>0</v>
      </c>
      <c r="F11" t="e" vm="9">
        <v>#VALUE!</v>
      </c>
      <c r="G11"/>
      <c r="H11"/>
      <c r="I11"/>
      <c r="J11"/>
      <c r="K11"/>
      <c r="L11" t="s">
        <v>155</v>
      </c>
      <c r="N11" t="s">
        <v>200</v>
      </c>
      <c r="O11" t="s">
        <v>181</v>
      </c>
      <c r="P11" t="s">
        <v>164</v>
      </c>
    </row>
    <row r="12" spans="1:18" x14ac:dyDescent="0.35">
      <c r="A12" t="s">
        <v>35</v>
      </c>
      <c r="B12">
        <v>0</v>
      </c>
      <c r="C12">
        <v>0</v>
      </c>
      <c r="D12">
        <v>1</v>
      </c>
      <c r="E12">
        <f t="shared" si="0"/>
        <v>1</v>
      </c>
      <c r="F12" t="e" vm="2">
        <v>#VALUE!</v>
      </c>
      <c r="G12" t="s">
        <v>47</v>
      </c>
      <c r="H12">
        <v>2011</v>
      </c>
      <c r="I12" t="s">
        <v>58</v>
      </c>
      <c r="J12" t="s">
        <v>6</v>
      </c>
      <c r="K12" t="s">
        <v>6</v>
      </c>
      <c r="L12" t="s">
        <v>167</v>
      </c>
      <c r="N12" t="s">
        <v>200</v>
      </c>
      <c r="O12" t="s">
        <v>180</v>
      </c>
      <c r="P12" t="s">
        <v>56</v>
      </c>
      <c r="Q12" t="s">
        <v>57</v>
      </c>
    </row>
    <row r="13" spans="1:18" x14ac:dyDescent="0.35">
      <c r="A13" t="s">
        <v>87</v>
      </c>
      <c r="B13">
        <v>0</v>
      </c>
      <c r="C13">
        <v>0</v>
      </c>
      <c r="D13">
        <v>0</v>
      </c>
      <c r="E13">
        <f t="shared" si="0"/>
        <v>0</v>
      </c>
      <c r="F13" t="e" vm="7">
        <v>#VALUE!</v>
      </c>
      <c r="G13" t="s">
        <v>5</v>
      </c>
      <c r="H13">
        <v>2019</v>
      </c>
      <c r="I13" t="s">
        <v>58</v>
      </c>
      <c r="J13" t="s">
        <v>4</v>
      </c>
      <c r="K13" t="s">
        <v>4</v>
      </c>
      <c r="L13" t="s">
        <v>155</v>
      </c>
      <c r="N13" t="s">
        <v>75</v>
      </c>
      <c r="O13"/>
      <c r="P13" t="s">
        <v>88</v>
      </c>
    </row>
    <row r="14" spans="1:18" x14ac:dyDescent="0.35">
      <c r="A14" t="s">
        <v>36</v>
      </c>
      <c r="B14">
        <v>1</v>
      </c>
      <c r="C14">
        <v>1</v>
      </c>
      <c r="D14">
        <v>1</v>
      </c>
      <c r="E14">
        <f t="shared" si="0"/>
        <v>3</v>
      </c>
      <c r="F14" t="e" vm="2">
        <v>#VALUE!</v>
      </c>
      <c r="G14" t="s">
        <v>47</v>
      </c>
      <c r="H14">
        <v>2015</v>
      </c>
      <c r="I14" t="s">
        <v>58</v>
      </c>
      <c r="J14" t="s">
        <v>6</v>
      </c>
      <c r="K14" t="s">
        <v>6</v>
      </c>
      <c r="L14" t="s">
        <v>167</v>
      </c>
      <c r="N14" t="s">
        <v>200</v>
      </c>
      <c r="O14" t="s">
        <v>180</v>
      </c>
      <c r="P14" t="s">
        <v>59</v>
      </c>
      <c r="Q14" t="s">
        <v>190</v>
      </c>
    </row>
    <row r="15" spans="1:18" x14ac:dyDescent="0.35">
      <c r="A15" t="s">
        <v>25</v>
      </c>
      <c r="B15">
        <v>0</v>
      </c>
      <c r="C15">
        <v>0</v>
      </c>
      <c r="D15">
        <v>0</v>
      </c>
      <c r="E15">
        <f t="shared" si="0"/>
        <v>0</v>
      </c>
      <c r="F15" t="e" vm="3">
        <v>#VALUE!</v>
      </c>
      <c r="G15" t="s">
        <v>5</v>
      </c>
      <c r="H15">
        <v>2012</v>
      </c>
      <c r="I15" t="s">
        <v>58</v>
      </c>
      <c r="J15" t="s">
        <v>6</v>
      </c>
      <c r="K15" t="s">
        <v>6</v>
      </c>
      <c r="L15" t="s">
        <v>155</v>
      </c>
      <c r="N15" t="s">
        <v>75</v>
      </c>
      <c r="O15"/>
      <c r="P15" t="s">
        <v>148</v>
      </c>
      <c r="Q15" t="s">
        <v>24</v>
      </c>
    </row>
    <row r="16" spans="1:18" x14ac:dyDescent="0.35">
      <c r="A16" t="s">
        <v>26</v>
      </c>
      <c r="B16">
        <v>1</v>
      </c>
      <c r="C16">
        <v>0</v>
      </c>
      <c r="D16">
        <v>0</v>
      </c>
      <c r="E16">
        <f t="shared" si="0"/>
        <v>1</v>
      </c>
      <c r="F16" t="e" vm="3">
        <v>#VALUE!</v>
      </c>
      <c r="G16" t="s">
        <v>5</v>
      </c>
      <c r="H16">
        <v>2012</v>
      </c>
      <c r="I16" t="s">
        <v>58</v>
      </c>
      <c r="J16" t="s">
        <v>6</v>
      </c>
      <c r="K16" t="s">
        <v>6</v>
      </c>
      <c r="L16" t="s">
        <v>167</v>
      </c>
      <c r="M16" t="s">
        <v>155</v>
      </c>
      <c r="N16" t="s">
        <v>75</v>
      </c>
      <c r="O16"/>
      <c r="P16" t="s">
        <v>23</v>
      </c>
      <c r="Q16" t="s">
        <v>27</v>
      </c>
    </row>
    <row r="17" spans="1:17" x14ac:dyDescent="0.35">
      <c r="A17" t="s">
        <v>10</v>
      </c>
      <c r="B17">
        <v>0</v>
      </c>
      <c r="C17">
        <v>0</v>
      </c>
      <c r="D17">
        <v>0</v>
      </c>
      <c r="E17">
        <f t="shared" si="0"/>
        <v>0</v>
      </c>
      <c r="F17" t="e" vm="10">
        <v>#VALUE!</v>
      </c>
      <c r="G17" t="s">
        <v>5</v>
      </c>
      <c r="H17">
        <v>2017</v>
      </c>
      <c r="I17" t="s">
        <v>58</v>
      </c>
      <c r="J17" t="s">
        <v>6</v>
      </c>
      <c r="K17" t="s">
        <v>6</v>
      </c>
      <c r="L17" t="s">
        <v>167</v>
      </c>
      <c r="M17" t="s">
        <v>155</v>
      </c>
      <c r="N17" t="s">
        <v>75</v>
      </c>
      <c r="O17"/>
      <c r="P17" t="s">
        <v>169</v>
      </c>
      <c r="Q17" t="s">
        <v>45</v>
      </c>
    </row>
    <row r="18" spans="1:17" x14ac:dyDescent="0.35">
      <c r="A18" t="s">
        <v>113</v>
      </c>
      <c r="B18">
        <v>0</v>
      </c>
      <c r="C18">
        <v>0</v>
      </c>
      <c r="D18">
        <v>0</v>
      </c>
      <c r="E18">
        <f t="shared" si="0"/>
        <v>0</v>
      </c>
      <c r="F18" t="e" vm="2">
        <v>#VALUE!</v>
      </c>
      <c r="G18"/>
      <c r="H18"/>
      <c r="I18"/>
      <c r="J18"/>
      <c r="K18" t="s">
        <v>4</v>
      </c>
      <c r="L18" t="s">
        <v>155</v>
      </c>
      <c r="N18" t="s">
        <v>75</v>
      </c>
      <c r="O18"/>
      <c r="P18" t="s">
        <v>63</v>
      </c>
    </row>
    <row r="19" spans="1:17" x14ac:dyDescent="0.35">
      <c r="A19" t="s">
        <v>28</v>
      </c>
      <c r="B19">
        <v>0</v>
      </c>
      <c r="C19">
        <v>0</v>
      </c>
      <c r="D19">
        <v>1</v>
      </c>
      <c r="E19">
        <f t="shared" si="0"/>
        <v>1</v>
      </c>
      <c r="F19" t="e" vm="2">
        <v>#VALUE!</v>
      </c>
      <c r="G19" t="s">
        <v>47</v>
      </c>
      <c r="H19">
        <v>2014</v>
      </c>
      <c r="I19" t="s">
        <v>58</v>
      </c>
      <c r="J19" t="s">
        <v>6</v>
      </c>
      <c r="K19" t="s">
        <v>6</v>
      </c>
      <c r="L19" t="s">
        <v>167</v>
      </c>
      <c r="N19" t="s">
        <v>200</v>
      </c>
      <c r="O19" t="s">
        <v>180</v>
      </c>
      <c r="P19" t="s">
        <v>48</v>
      </c>
      <c r="Q19" t="s">
        <v>150</v>
      </c>
    </row>
    <row r="20" spans="1:17" x14ac:dyDescent="0.35">
      <c r="A20" t="s">
        <v>117</v>
      </c>
      <c r="B20">
        <v>1</v>
      </c>
      <c r="C20">
        <v>0</v>
      </c>
      <c r="D20">
        <v>0</v>
      </c>
      <c r="E20">
        <f t="shared" si="0"/>
        <v>1</v>
      </c>
      <c r="F20" t="e" vm="2">
        <v>#VALUE!</v>
      </c>
      <c r="G20"/>
      <c r="H20">
        <v>2017</v>
      </c>
      <c r="I20"/>
      <c r="J20"/>
      <c r="K20" t="s">
        <v>6</v>
      </c>
      <c r="L20" t="s">
        <v>155</v>
      </c>
      <c r="N20" t="s">
        <v>200</v>
      </c>
      <c r="O20" t="s">
        <v>181</v>
      </c>
      <c r="P20" t="s">
        <v>136</v>
      </c>
      <c r="Q20" t="s">
        <v>135</v>
      </c>
    </row>
    <row r="21" spans="1:17" x14ac:dyDescent="0.35">
      <c r="A21" t="s">
        <v>132</v>
      </c>
      <c r="B21">
        <v>0</v>
      </c>
      <c r="C21">
        <v>0</v>
      </c>
      <c r="D21">
        <v>0</v>
      </c>
      <c r="E21">
        <f t="shared" si="0"/>
        <v>0</v>
      </c>
      <c r="F21" t="e" vm="5">
        <v>#VALUE!</v>
      </c>
      <c r="G21"/>
      <c r="H21"/>
      <c r="I21"/>
      <c r="J21"/>
      <c r="K21" t="s">
        <v>6</v>
      </c>
      <c r="L21" t="s">
        <v>155</v>
      </c>
      <c r="N21" t="s">
        <v>75</v>
      </c>
      <c r="O21"/>
      <c r="P21" t="s">
        <v>175</v>
      </c>
    </row>
    <row r="22" spans="1:17" x14ac:dyDescent="0.35">
      <c r="A22" t="s">
        <v>116</v>
      </c>
      <c r="B22">
        <v>1</v>
      </c>
      <c r="C22">
        <v>1</v>
      </c>
      <c r="D22">
        <v>1</v>
      </c>
      <c r="E22">
        <f t="shared" si="0"/>
        <v>3</v>
      </c>
      <c r="F22" t="e" vm="5">
        <v>#VALUE!</v>
      </c>
      <c r="G22"/>
      <c r="H22"/>
      <c r="I22"/>
      <c r="J22"/>
      <c r="K22" t="s">
        <v>6</v>
      </c>
      <c r="L22" t="s">
        <v>167</v>
      </c>
      <c r="N22" t="s">
        <v>200</v>
      </c>
      <c r="O22" t="s">
        <v>180</v>
      </c>
      <c r="P22" t="s">
        <v>114</v>
      </c>
    </row>
    <row r="23" spans="1:17" x14ac:dyDescent="0.35">
      <c r="A23" t="s">
        <v>152</v>
      </c>
      <c r="B23">
        <v>0</v>
      </c>
      <c r="C23">
        <v>0</v>
      </c>
      <c r="D23">
        <v>0</v>
      </c>
      <c r="E23">
        <f t="shared" si="0"/>
        <v>0</v>
      </c>
      <c r="F23" t="e" vm="5">
        <v>#VALUE!</v>
      </c>
      <c r="G23"/>
      <c r="H23"/>
      <c r="I23"/>
      <c r="J23"/>
      <c r="K23"/>
      <c r="L23" t="s">
        <v>155</v>
      </c>
      <c r="N23" t="s">
        <v>75</v>
      </c>
      <c r="O23" t="s">
        <v>181</v>
      </c>
      <c r="P23" t="s">
        <v>163</v>
      </c>
    </row>
    <row r="24" spans="1:17" x14ac:dyDescent="0.35">
      <c r="A24" t="s">
        <v>39</v>
      </c>
      <c r="B24">
        <v>0</v>
      </c>
      <c r="C24">
        <v>0</v>
      </c>
      <c r="D24">
        <v>0</v>
      </c>
      <c r="E24">
        <f t="shared" si="0"/>
        <v>0</v>
      </c>
      <c r="F24" t="e" vm="2">
        <v>#VALUE!</v>
      </c>
      <c r="G24" t="s">
        <v>47</v>
      </c>
      <c r="H24">
        <v>2022</v>
      </c>
      <c r="I24" t="s">
        <v>58</v>
      </c>
      <c r="J24" t="s">
        <v>6</v>
      </c>
      <c r="K24" t="s">
        <v>6</v>
      </c>
      <c r="L24" t="s">
        <v>167</v>
      </c>
      <c r="N24" t="s">
        <v>200</v>
      </c>
      <c r="O24" t="s">
        <v>180</v>
      </c>
      <c r="P24" t="s">
        <v>111</v>
      </c>
    </row>
    <row r="25" spans="1:17" x14ac:dyDescent="0.35">
      <c r="A25" t="s">
        <v>33</v>
      </c>
      <c r="B25">
        <v>0</v>
      </c>
      <c r="C25">
        <v>0</v>
      </c>
      <c r="D25">
        <v>0</v>
      </c>
      <c r="E25">
        <f t="shared" si="0"/>
        <v>0</v>
      </c>
      <c r="F25" t="e" vm="2">
        <v>#VALUE!</v>
      </c>
      <c r="G25" t="s">
        <v>47</v>
      </c>
      <c r="H25">
        <v>2015</v>
      </c>
      <c r="I25" t="s">
        <v>58</v>
      </c>
      <c r="J25" t="s">
        <v>6</v>
      </c>
      <c r="K25" t="s">
        <v>6</v>
      </c>
      <c r="L25" t="s">
        <v>167</v>
      </c>
      <c r="N25" t="s">
        <v>200</v>
      </c>
      <c r="O25" t="s">
        <v>180</v>
      </c>
      <c r="P25" t="s">
        <v>54</v>
      </c>
    </row>
    <row r="26" spans="1:17" x14ac:dyDescent="0.35">
      <c r="A26" t="s">
        <v>11</v>
      </c>
      <c r="B26">
        <v>0</v>
      </c>
      <c r="C26">
        <v>0</v>
      </c>
      <c r="D26">
        <v>0</v>
      </c>
      <c r="E26">
        <f t="shared" si="0"/>
        <v>0</v>
      </c>
      <c r="F26" t="e" vm="8">
        <v>#VALUE!</v>
      </c>
      <c r="G26" t="s">
        <v>5</v>
      </c>
      <c r="H26">
        <v>2012</v>
      </c>
      <c r="I26" t="s">
        <v>58</v>
      </c>
      <c r="J26" t="s">
        <v>6</v>
      </c>
      <c r="K26" t="s">
        <v>6</v>
      </c>
      <c r="L26" t="s">
        <v>155</v>
      </c>
      <c r="M26" t="s">
        <v>167</v>
      </c>
      <c r="N26" t="s">
        <v>75</v>
      </c>
      <c r="O26"/>
      <c r="P26" t="s">
        <v>42</v>
      </c>
      <c r="Q26" t="s">
        <v>43</v>
      </c>
    </row>
    <row r="27" spans="1:17" x14ac:dyDescent="0.35">
      <c r="A27" t="s">
        <v>31</v>
      </c>
      <c r="B27">
        <v>0</v>
      </c>
      <c r="C27">
        <v>0</v>
      </c>
      <c r="D27">
        <v>0</v>
      </c>
      <c r="E27">
        <f t="shared" si="0"/>
        <v>0</v>
      </c>
      <c r="F27" t="e" vm="2">
        <v>#VALUE!</v>
      </c>
      <c r="G27" t="s">
        <v>47</v>
      </c>
      <c r="H27">
        <v>2019</v>
      </c>
      <c r="I27" t="s">
        <v>58</v>
      </c>
      <c r="J27" t="s">
        <v>6</v>
      </c>
      <c r="K27" t="s">
        <v>6</v>
      </c>
      <c r="L27" t="s">
        <v>167</v>
      </c>
      <c r="N27" t="s">
        <v>200</v>
      </c>
      <c r="O27" t="s">
        <v>180</v>
      </c>
      <c r="P27" t="s">
        <v>51</v>
      </c>
    </row>
    <row r="28" spans="1:17" x14ac:dyDescent="0.35">
      <c r="A28" t="s">
        <v>80</v>
      </c>
      <c r="B28">
        <v>0</v>
      </c>
      <c r="C28">
        <v>0</v>
      </c>
      <c r="D28">
        <v>0</v>
      </c>
      <c r="E28">
        <f t="shared" si="0"/>
        <v>0</v>
      </c>
      <c r="F28" t="e" vm="11">
        <v>#VALUE!</v>
      </c>
      <c r="G28" t="s">
        <v>5</v>
      </c>
      <c r="H28">
        <v>2019</v>
      </c>
      <c r="I28" t="s">
        <v>58</v>
      </c>
      <c r="J28" t="s">
        <v>6</v>
      </c>
      <c r="K28" t="s">
        <v>6</v>
      </c>
      <c r="L28" t="s">
        <v>167</v>
      </c>
      <c r="N28" t="s">
        <v>75</v>
      </c>
      <c r="O28"/>
      <c r="P28" t="s">
        <v>81</v>
      </c>
    </row>
    <row r="29" spans="1:17" x14ac:dyDescent="0.35">
      <c r="A29" t="s">
        <v>12</v>
      </c>
      <c r="B29">
        <v>0</v>
      </c>
      <c r="C29">
        <v>0</v>
      </c>
      <c r="D29">
        <v>0</v>
      </c>
      <c r="E29">
        <f t="shared" si="0"/>
        <v>0</v>
      </c>
      <c r="F29" t="e" vm="3">
        <v>#VALUE!</v>
      </c>
      <c r="G29" t="s">
        <v>5</v>
      </c>
      <c r="H29">
        <v>2007</v>
      </c>
      <c r="I29" t="s">
        <v>58</v>
      </c>
      <c r="J29" t="s">
        <v>6</v>
      </c>
      <c r="K29" t="s">
        <v>6</v>
      </c>
      <c r="L29" t="s">
        <v>155</v>
      </c>
      <c r="M29" t="s">
        <v>167</v>
      </c>
      <c r="N29" t="s">
        <v>75</v>
      </c>
      <c r="O29"/>
      <c r="P29" t="s">
        <v>44</v>
      </c>
    </row>
    <row r="30" spans="1:17" x14ac:dyDescent="0.35">
      <c r="A30" t="s">
        <v>65</v>
      </c>
      <c r="B30">
        <v>0</v>
      </c>
      <c r="C30">
        <v>0</v>
      </c>
      <c r="D30">
        <v>0</v>
      </c>
      <c r="E30">
        <f t="shared" si="0"/>
        <v>0</v>
      </c>
      <c r="F30" t="e" vm="6">
        <v>#VALUE!</v>
      </c>
      <c r="G30" t="s">
        <v>5</v>
      </c>
      <c r="H30">
        <v>2020</v>
      </c>
      <c r="I30" t="s">
        <v>58</v>
      </c>
      <c r="J30" t="s">
        <v>6</v>
      </c>
      <c r="K30" t="s">
        <v>6</v>
      </c>
      <c r="L30" t="s">
        <v>167</v>
      </c>
      <c r="N30" t="s">
        <v>75</v>
      </c>
      <c r="O30"/>
      <c r="P30" t="s">
        <v>66</v>
      </c>
    </row>
    <row r="31" spans="1:17" x14ac:dyDescent="0.35">
      <c r="A31" t="s">
        <v>13</v>
      </c>
      <c r="B31">
        <v>0</v>
      </c>
      <c r="C31">
        <v>0</v>
      </c>
      <c r="D31">
        <v>0</v>
      </c>
      <c r="E31">
        <f t="shared" si="0"/>
        <v>0</v>
      </c>
      <c r="F31" t="e" vm="2">
        <v>#VALUE!</v>
      </c>
      <c r="G31" t="s">
        <v>47</v>
      </c>
      <c r="H31">
        <v>2017</v>
      </c>
      <c r="I31" t="s">
        <v>58</v>
      </c>
      <c r="J31" t="s">
        <v>6</v>
      </c>
      <c r="K31" t="s">
        <v>6</v>
      </c>
      <c r="L31" t="s">
        <v>167</v>
      </c>
      <c r="N31" t="s">
        <v>75</v>
      </c>
      <c r="O31" t="s">
        <v>180</v>
      </c>
      <c r="P31" t="s">
        <v>170</v>
      </c>
    </row>
    <row r="32" spans="1:17" x14ac:dyDescent="0.35">
      <c r="A32" t="s">
        <v>14</v>
      </c>
      <c r="B32">
        <v>1</v>
      </c>
      <c r="C32">
        <v>0</v>
      </c>
      <c r="D32">
        <v>0</v>
      </c>
      <c r="E32">
        <f t="shared" si="0"/>
        <v>1</v>
      </c>
      <c r="F32" t="e" vm="6">
        <v>#VALUE!</v>
      </c>
      <c r="G32" t="s">
        <v>5</v>
      </c>
      <c r="H32">
        <v>2011</v>
      </c>
      <c r="I32" t="s">
        <v>58</v>
      </c>
      <c r="J32" t="s">
        <v>6</v>
      </c>
      <c r="K32" t="s">
        <v>6</v>
      </c>
      <c r="L32" t="s">
        <v>155</v>
      </c>
      <c r="M32" t="s">
        <v>167</v>
      </c>
      <c r="N32" t="s">
        <v>75</v>
      </c>
      <c r="O32"/>
      <c r="P32" t="s">
        <v>171</v>
      </c>
    </row>
    <row r="33" spans="1:17" x14ac:dyDescent="0.35">
      <c r="A33" t="s">
        <v>123</v>
      </c>
      <c r="B33">
        <v>0</v>
      </c>
      <c r="C33">
        <v>0</v>
      </c>
      <c r="D33">
        <v>0</v>
      </c>
      <c r="E33">
        <f t="shared" si="0"/>
        <v>0</v>
      </c>
      <c r="F33" t="e" vm="5">
        <v>#VALUE!</v>
      </c>
      <c r="G33"/>
      <c r="H33"/>
      <c r="I33"/>
      <c r="J33"/>
      <c r="K33" t="s">
        <v>6</v>
      </c>
      <c r="L33" t="s">
        <v>167</v>
      </c>
      <c r="N33" t="s">
        <v>75</v>
      </c>
      <c r="O33"/>
      <c r="P33" t="s">
        <v>126</v>
      </c>
    </row>
    <row r="34" spans="1:17" x14ac:dyDescent="0.35">
      <c r="A34" t="s">
        <v>30</v>
      </c>
      <c r="B34">
        <v>1</v>
      </c>
      <c r="C34">
        <v>1</v>
      </c>
      <c r="D34">
        <v>1</v>
      </c>
      <c r="E34">
        <f t="shared" ref="E34:E55" si="1">SUM(B34:D34)</f>
        <v>3</v>
      </c>
      <c r="F34" t="e" vm="3">
        <v>#VALUE!</v>
      </c>
      <c r="G34" t="s">
        <v>9</v>
      </c>
      <c r="H34">
        <v>2008</v>
      </c>
      <c r="I34" t="s">
        <v>58</v>
      </c>
      <c r="J34" t="s">
        <v>6</v>
      </c>
      <c r="K34" t="s">
        <v>6</v>
      </c>
      <c r="L34" t="s">
        <v>167</v>
      </c>
      <c r="N34" t="s">
        <v>200</v>
      </c>
      <c r="O34" t="s">
        <v>180</v>
      </c>
      <c r="P34" t="s">
        <v>50</v>
      </c>
      <c r="Q34" t="s">
        <v>149</v>
      </c>
    </row>
    <row r="35" spans="1:17" x14ac:dyDescent="0.35">
      <c r="A35" t="s">
        <v>83</v>
      </c>
      <c r="B35">
        <v>0</v>
      </c>
      <c r="C35">
        <v>0</v>
      </c>
      <c r="D35">
        <v>1</v>
      </c>
      <c r="E35">
        <f t="shared" si="1"/>
        <v>1</v>
      </c>
      <c r="F35" t="e" vm="12">
        <v>#VALUE!</v>
      </c>
      <c r="G35" t="s">
        <v>9</v>
      </c>
      <c r="H35">
        <v>2008</v>
      </c>
      <c r="I35" t="s">
        <v>58</v>
      </c>
      <c r="J35" t="s">
        <v>6</v>
      </c>
      <c r="K35" t="s">
        <v>6</v>
      </c>
      <c r="L35" t="s">
        <v>167</v>
      </c>
      <c r="N35" t="s">
        <v>75</v>
      </c>
      <c r="O35"/>
      <c r="P35" t="s">
        <v>84</v>
      </c>
    </row>
    <row r="36" spans="1:17" x14ac:dyDescent="0.35">
      <c r="A36" t="s">
        <v>70</v>
      </c>
      <c r="B36">
        <v>0</v>
      </c>
      <c r="C36">
        <v>0</v>
      </c>
      <c r="D36">
        <v>0</v>
      </c>
      <c r="E36">
        <f t="shared" si="1"/>
        <v>0</v>
      </c>
      <c r="F36" t="e" vm="13">
        <v>#VALUE!</v>
      </c>
      <c r="G36" t="s">
        <v>9</v>
      </c>
      <c r="H36">
        <v>2019</v>
      </c>
      <c r="I36" t="s">
        <v>58</v>
      </c>
      <c r="J36" t="s">
        <v>6</v>
      </c>
      <c r="K36" t="s">
        <v>6</v>
      </c>
      <c r="L36" t="s">
        <v>167</v>
      </c>
      <c r="N36" t="s">
        <v>75</v>
      </c>
      <c r="O36"/>
      <c r="P36" t="s">
        <v>72</v>
      </c>
    </row>
    <row r="37" spans="1:17" x14ac:dyDescent="0.35">
      <c r="A37" t="s">
        <v>21</v>
      </c>
      <c r="B37">
        <v>0</v>
      </c>
      <c r="C37">
        <v>0</v>
      </c>
      <c r="D37">
        <v>0</v>
      </c>
      <c r="E37">
        <f t="shared" si="1"/>
        <v>0</v>
      </c>
      <c r="F37" t="e" vm="5">
        <v>#VALUE!</v>
      </c>
      <c r="G37" t="s">
        <v>5</v>
      </c>
      <c r="H37">
        <v>2017</v>
      </c>
      <c r="I37" t="s">
        <v>58</v>
      </c>
      <c r="J37" t="s">
        <v>6</v>
      </c>
      <c r="K37" t="s">
        <v>6</v>
      </c>
      <c r="L37" t="s">
        <v>167</v>
      </c>
      <c r="N37" t="s">
        <v>75</v>
      </c>
      <c r="O37" t="s">
        <v>180</v>
      </c>
      <c r="P37" t="s">
        <v>22</v>
      </c>
    </row>
    <row r="38" spans="1:17" x14ac:dyDescent="0.35">
      <c r="A38" t="s">
        <v>95</v>
      </c>
      <c r="B38">
        <v>0</v>
      </c>
      <c r="C38">
        <v>0</v>
      </c>
      <c r="D38">
        <v>0</v>
      </c>
      <c r="E38">
        <f t="shared" si="1"/>
        <v>0</v>
      </c>
      <c r="F38" t="e" vm="2">
        <v>#VALUE!</v>
      </c>
      <c r="G38" t="s">
        <v>47</v>
      </c>
      <c r="H38">
        <v>2015</v>
      </c>
      <c r="I38" t="s">
        <v>58</v>
      </c>
      <c r="J38" t="s">
        <v>6</v>
      </c>
      <c r="K38" t="s">
        <v>6</v>
      </c>
      <c r="L38" t="s">
        <v>167</v>
      </c>
      <c r="N38" t="s">
        <v>75</v>
      </c>
      <c r="O38"/>
      <c r="P38" t="s">
        <v>96</v>
      </c>
    </row>
    <row r="39" spans="1:17" x14ac:dyDescent="0.35">
      <c r="A39" t="s">
        <v>15</v>
      </c>
      <c r="B39">
        <v>0</v>
      </c>
      <c r="C39">
        <v>0</v>
      </c>
      <c r="D39">
        <v>0</v>
      </c>
      <c r="E39">
        <f t="shared" si="1"/>
        <v>0</v>
      </c>
      <c r="F39" t="e" vm="2">
        <v>#VALUE!</v>
      </c>
      <c r="G39" t="s">
        <v>5</v>
      </c>
      <c r="H39">
        <v>2007</v>
      </c>
      <c r="I39" t="s">
        <v>58</v>
      </c>
      <c r="J39" t="s">
        <v>4</v>
      </c>
      <c r="K39" t="s">
        <v>16</v>
      </c>
      <c r="L39" t="s">
        <v>155</v>
      </c>
      <c r="M39" t="s">
        <v>167</v>
      </c>
      <c r="N39" t="s">
        <v>75</v>
      </c>
      <c r="O39"/>
      <c r="P39" t="s">
        <v>172</v>
      </c>
    </row>
    <row r="40" spans="1:17" x14ac:dyDescent="0.35">
      <c r="A40" t="s">
        <v>34</v>
      </c>
      <c r="B40">
        <v>1</v>
      </c>
      <c r="C40">
        <v>0</v>
      </c>
      <c r="D40">
        <v>0</v>
      </c>
      <c r="E40">
        <f t="shared" si="1"/>
        <v>1</v>
      </c>
      <c r="F40" t="e" vm="2">
        <v>#VALUE!</v>
      </c>
      <c r="G40" t="s">
        <v>47</v>
      </c>
      <c r="H40">
        <v>2013</v>
      </c>
      <c r="I40" t="s">
        <v>58</v>
      </c>
      <c r="J40" t="s">
        <v>6</v>
      </c>
      <c r="K40" t="s">
        <v>6</v>
      </c>
      <c r="L40" t="s">
        <v>167</v>
      </c>
      <c r="M40" t="s">
        <v>155</v>
      </c>
      <c r="N40" t="s">
        <v>200</v>
      </c>
      <c r="O40" t="s">
        <v>180</v>
      </c>
      <c r="P40" t="s">
        <v>55</v>
      </c>
    </row>
    <row r="41" spans="1:17" x14ac:dyDescent="0.35">
      <c r="A41" t="s">
        <v>119</v>
      </c>
      <c r="B41">
        <v>1</v>
      </c>
      <c r="C41">
        <v>1</v>
      </c>
      <c r="D41">
        <v>1</v>
      </c>
      <c r="E41">
        <f t="shared" si="1"/>
        <v>3</v>
      </c>
      <c r="F41" t="e" vm="5">
        <v>#VALUE!</v>
      </c>
      <c r="G41"/>
      <c r="H41"/>
      <c r="I41"/>
      <c r="J41"/>
      <c r="K41" t="s">
        <v>6</v>
      </c>
      <c r="L41" t="s">
        <v>155</v>
      </c>
      <c r="N41" t="s">
        <v>200</v>
      </c>
      <c r="O41" t="s">
        <v>181</v>
      </c>
      <c r="P41" t="s">
        <v>118</v>
      </c>
      <c r="Q41" t="s">
        <v>134</v>
      </c>
    </row>
    <row r="42" spans="1:17" x14ac:dyDescent="0.35">
      <c r="A42" t="s">
        <v>32</v>
      </c>
      <c r="B42">
        <v>1</v>
      </c>
      <c r="C42">
        <v>1</v>
      </c>
      <c r="D42">
        <v>1</v>
      </c>
      <c r="E42">
        <f t="shared" si="1"/>
        <v>3</v>
      </c>
      <c r="F42" t="e" vm="2">
        <v>#VALUE!</v>
      </c>
      <c r="G42" t="s">
        <v>47</v>
      </c>
      <c r="H42">
        <v>2015</v>
      </c>
      <c r="I42" t="s">
        <v>58</v>
      </c>
      <c r="J42" t="s">
        <v>6</v>
      </c>
      <c r="K42" t="s">
        <v>6</v>
      </c>
      <c r="L42" t="s">
        <v>167</v>
      </c>
      <c r="N42" t="s">
        <v>200</v>
      </c>
      <c r="O42" t="s">
        <v>180</v>
      </c>
      <c r="P42" t="s">
        <v>53</v>
      </c>
      <c r="Q42" t="s">
        <v>52</v>
      </c>
    </row>
    <row r="43" spans="1:17" x14ac:dyDescent="0.35">
      <c r="A43" t="s">
        <v>130</v>
      </c>
      <c r="B43">
        <v>0</v>
      </c>
      <c r="C43">
        <v>0</v>
      </c>
      <c r="D43">
        <v>0</v>
      </c>
      <c r="E43">
        <f t="shared" si="1"/>
        <v>0</v>
      </c>
      <c r="F43" t="e" vm="5">
        <v>#VALUE!</v>
      </c>
      <c r="G43"/>
      <c r="H43"/>
      <c r="I43"/>
      <c r="J43"/>
      <c r="K43" t="s">
        <v>6</v>
      </c>
      <c r="L43" t="s">
        <v>155</v>
      </c>
      <c r="N43" t="s">
        <v>75</v>
      </c>
      <c r="O43" t="s">
        <v>181</v>
      </c>
      <c r="P43" t="s">
        <v>129</v>
      </c>
    </row>
    <row r="44" spans="1:17" x14ac:dyDescent="0.35">
      <c r="A44" t="s">
        <v>17</v>
      </c>
      <c r="B44">
        <v>1</v>
      </c>
      <c r="C44">
        <v>0</v>
      </c>
      <c r="D44">
        <v>1</v>
      </c>
      <c r="E44">
        <f t="shared" si="1"/>
        <v>2</v>
      </c>
      <c r="F44" t="e" vm="3">
        <v>#VALUE!</v>
      </c>
      <c r="G44" t="s">
        <v>5</v>
      </c>
      <c r="H44">
        <v>2016</v>
      </c>
      <c r="I44" t="s">
        <v>58</v>
      </c>
      <c r="J44" t="s">
        <v>6</v>
      </c>
      <c r="K44" t="s">
        <v>6</v>
      </c>
      <c r="L44" t="s">
        <v>167</v>
      </c>
      <c r="N44" t="s">
        <v>75</v>
      </c>
      <c r="O44" t="s">
        <v>75</v>
      </c>
      <c r="P44" t="s">
        <v>173</v>
      </c>
      <c r="Q44" t="s">
        <v>46</v>
      </c>
    </row>
    <row r="45" spans="1:17" x14ac:dyDescent="0.35">
      <c r="A45" t="s">
        <v>18</v>
      </c>
      <c r="B45">
        <v>0</v>
      </c>
      <c r="C45">
        <v>0</v>
      </c>
      <c r="D45">
        <v>0</v>
      </c>
      <c r="E45">
        <f t="shared" si="1"/>
        <v>0</v>
      </c>
      <c r="F45" t="e" vm="1">
        <v>#VALUE!</v>
      </c>
      <c r="G45" t="s">
        <v>5</v>
      </c>
      <c r="H45">
        <v>2017</v>
      </c>
      <c r="I45" t="s">
        <v>58</v>
      </c>
      <c r="J45" t="s">
        <v>6</v>
      </c>
      <c r="K45" t="s">
        <v>6</v>
      </c>
      <c r="L45" t="s">
        <v>155</v>
      </c>
      <c r="N45" t="s">
        <v>75</v>
      </c>
      <c r="O45"/>
      <c r="P45" t="s">
        <v>174</v>
      </c>
    </row>
    <row r="46" spans="1:17" x14ac:dyDescent="0.35">
      <c r="A46" t="s">
        <v>92</v>
      </c>
      <c r="B46">
        <v>0</v>
      </c>
      <c r="C46">
        <v>0</v>
      </c>
      <c r="D46">
        <v>0</v>
      </c>
      <c r="E46">
        <f t="shared" si="1"/>
        <v>0</v>
      </c>
      <c r="F46" t="e" vm="1">
        <v>#VALUE!</v>
      </c>
      <c r="G46" t="s">
        <v>5</v>
      </c>
      <c r="H46">
        <v>2018</v>
      </c>
      <c r="I46" t="s">
        <v>58</v>
      </c>
      <c r="J46" t="s">
        <v>4</v>
      </c>
      <c r="K46" t="s">
        <v>4</v>
      </c>
      <c r="L46" t="s">
        <v>155</v>
      </c>
      <c r="N46" t="s">
        <v>75</v>
      </c>
      <c r="O46"/>
      <c r="P46" t="s">
        <v>93</v>
      </c>
    </row>
    <row r="47" spans="1:17" x14ac:dyDescent="0.35">
      <c r="A47" t="s">
        <v>121</v>
      </c>
      <c r="B47">
        <v>0</v>
      </c>
      <c r="C47">
        <v>0</v>
      </c>
      <c r="D47">
        <v>0</v>
      </c>
      <c r="E47">
        <f t="shared" si="1"/>
        <v>0</v>
      </c>
      <c r="F47" t="e" vm="3">
        <v>#VALUE!</v>
      </c>
      <c r="G47"/>
      <c r="H47"/>
      <c r="I47"/>
      <c r="J47"/>
      <c r="K47" t="s">
        <v>6</v>
      </c>
      <c r="L47" t="s">
        <v>167</v>
      </c>
      <c r="M47" t="s">
        <v>115</v>
      </c>
      <c r="N47" t="s">
        <v>75</v>
      </c>
      <c r="O47"/>
      <c r="P47" t="s">
        <v>120</v>
      </c>
    </row>
    <row r="48" spans="1:17" x14ac:dyDescent="0.35">
      <c r="A48" t="s">
        <v>37</v>
      </c>
      <c r="B48">
        <v>0</v>
      </c>
      <c r="C48">
        <v>0</v>
      </c>
      <c r="D48">
        <v>0</v>
      </c>
      <c r="E48">
        <f t="shared" si="1"/>
        <v>0</v>
      </c>
      <c r="F48" t="e" vm="2">
        <v>#VALUE!</v>
      </c>
      <c r="G48" t="s">
        <v>47</v>
      </c>
      <c r="H48">
        <v>2020</v>
      </c>
      <c r="I48" t="s">
        <v>58</v>
      </c>
      <c r="J48" t="s">
        <v>6</v>
      </c>
      <c r="K48" t="s">
        <v>6</v>
      </c>
      <c r="L48" t="s">
        <v>167</v>
      </c>
      <c r="N48" t="s">
        <v>200</v>
      </c>
      <c r="O48" t="s">
        <v>180</v>
      </c>
      <c r="P48" t="s">
        <v>60</v>
      </c>
    </row>
    <row r="49" spans="1:17" x14ac:dyDescent="0.35">
      <c r="A49" t="s">
        <v>85</v>
      </c>
      <c r="B49">
        <v>0</v>
      </c>
      <c r="C49">
        <v>0</v>
      </c>
      <c r="D49">
        <v>0</v>
      </c>
      <c r="E49">
        <f t="shared" si="1"/>
        <v>0</v>
      </c>
      <c r="F49" t="e" vm="6">
        <v>#VALUE!</v>
      </c>
      <c r="G49" t="s">
        <v>9</v>
      </c>
      <c r="H49">
        <v>2017</v>
      </c>
      <c r="I49" t="s">
        <v>58</v>
      </c>
      <c r="J49" t="s">
        <v>6</v>
      </c>
      <c r="K49" t="s">
        <v>6</v>
      </c>
      <c r="L49" t="s">
        <v>155</v>
      </c>
      <c r="N49" t="s">
        <v>75</v>
      </c>
      <c r="O49"/>
      <c r="P49" t="s">
        <v>104</v>
      </c>
      <c r="Q49" t="s">
        <v>105</v>
      </c>
    </row>
    <row r="50" spans="1:17" x14ac:dyDescent="0.35">
      <c r="A50" t="s">
        <v>38</v>
      </c>
      <c r="B50">
        <v>0</v>
      </c>
      <c r="C50">
        <v>0</v>
      </c>
      <c r="D50">
        <v>0</v>
      </c>
      <c r="E50">
        <f t="shared" si="1"/>
        <v>0</v>
      </c>
      <c r="F50" t="e" vm="2">
        <v>#VALUE!</v>
      </c>
      <c r="G50" t="s">
        <v>47</v>
      </c>
      <c r="H50">
        <v>2022</v>
      </c>
      <c r="I50" t="s">
        <v>58</v>
      </c>
      <c r="J50" t="s">
        <v>6</v>
      </c>
      <c r="K50" t="s">
        <v>6</v>
      </c>
      <c r="L50" t="s">
        <v>167</v>
      </c>
      <c r="N50" t="s">
        <v>200</v>
      </c>
      <c r="O50" t="s">
        <v>180</v>
      </c>
      <c r="P50" t="s">
        <v>62</v>
      </c>
      <c r="Q50" t="s">
        <v>61</v>
      </c>
    </row>
    <row r="51" spans="1:17" x14ac:dyDescent="0.35">
      <c r="A51" t="s">
        <v>110</v>
      </c>
      <c r="B51">
        <v>0</v>
      </c>
      <c r="C51">
        <v>0</v>
      </c>
      <c r="D51">
        <v>0</v>
      </c>
      <c r="E51">
        <f t="shared" si="1"/>
        <v>0</v>
      </c>
      <c r="F51" t="e" vm="14">
        <v>#VALUE!</v>
      </c>
      <c r="G51" t="s">
        <v>5</v>
      </c>
      <c r="H51">
        <v>2019</v>
      </c>
      <c r="I51"/>
      <c r="J51" t="s">
        <v>6</v>
      </c>
      <c r="K51" t="s">
        <v>6</v>
      </c>
      <c r="L51" t="s">
        <v>167</v>
      </c>
      <c r="N51" t="s">
        <v>75</v>
      </c>
      <c r="O51" t="s">
        <v>180</v>
      </c>
      <c r="P51" t="s">
        <v>168</v>
      </c>
    </row>
    <row r="52" spans="1:17" x14ac:dyDescent="0.35">
      <c r="A52" t="s">
        <v>124</v>
      </c>
      <c r="B52">
        <v>0</v>
      </c>
      <c r="C52">
        <v>0</v>
      </c>
      <c r="D52">
        <v>0</v>
      </c>
      <c r="E52">
        <f t="shared" si="1"/>
        <v>0</v>
      </c>
      <c r="F52" t="e" vm="15">
        <v>#VALUE!</v>
      </c>
      <c r="G52"/>
      <c r="H52"/>
      <c r="I52"/>
      <c r="J52"/>
      <c r="K52" t="s">
        <v>8</v>
      </c>
      <c r="L52" t="s">
        <v>155</v>
      </c>
      <c r="N52" t="s">
        <v>75</v>
      </c>
      <c r="O52"/>
      <c r="P52" t="s">
        <v>125</v>
      </c>
    </row>
    <row r="53" spans="1:17" x14ac:dyDescent="0.35">
      <c r="A53" t="s">
        <v>138</v>
      </c>
      <c r="B53">
        <v>0</v>
      </c>
      <c r="C53">
        <v>0</v>
      </c>
      <c r="D53">
        <v>0</v>
      </c>
      <c r="E53">
        <f t="shared" si="1"/>
        <v>0</v>
      </c>
      <c r="F53" t="e" vm="2">
        <v>#VALUE!</v>
      </c>
      <c r="G53" t="s">
        <v>5</v>
      </c>
      <c r="H53">
        <v>2016</v>
      </c>
      <c r="I53"/>
      <c r="J53" t="s">
        <v>4</v>
      </c>
      <c r="K53" t="s">
        <v>4</v>
      </c>
      <c r="L53" t="s">
        <v>167</v>
      </c>
      <c r="N53" t="s">
        <v>75</v>
      </c>
      <c r="O53" t="s">
        <v>180</v>
      </c>
      <c r="P53" t="s">
        <v>131</v>
      </c>
    </row>
    <row r="54" spans="1:17" x14ac:dyDescent="0.35">
      <c r="A54" t="s">
        <v>29</v>
      </c>
      <c r="B54">
        <v>0</v>
      </c>
      <c r="C54">
        <v>0</v>
      </c>
      <c r="D54">
        <v>0</v>
      </c>
      <c r="E54">
        <f t="shared" si="1"/>
        <v>0</v>
      </c>
      <c r="F54" t="e" vm="2">
        <v>#VALUE!</v>
      </c>
      <c r="G54" t="s">
        <v>47</v>
      </c>
      <c r="H54">
        <v>2017</v>
      </c>
      <c r="I54" t="s">
        <v>58</v>
      </c>
      <c r="J54" t="s">
        <v>6</v>
      </c>
      <c r="K54" t="s">
        <v>6</v>
      </c>
      <c r="L54" t="s">
        <v>167</v>
      </c>
      <c r="N54" t="s">
        <v>200</v>
      </c>
      <c r="O54" t="s">
        <v>180</v>
      </c>
      <c r="P54" t="s">
        <v>49</v>
      </c>
    </row>
    <row r="55" spans="1:17" x14ac:dyDescent="0.35">
      <c r="A55" t="s">
        <v>40</v>
      </c>
      <c r="B55">
        <v>0</v>
      </c>
      <c r="C55">
        <v>0</v>
      </c>
      <c r="D55">
        <v>0</v>
      </c>
      <c r="E55">
        <f t="shared" si="1"/>
        <v>0</v>
      </c>
      <c r="F55" t="e" vm="2">
        <v>#VALUE!</v>
      </c>
      <c r="G55" t="s">
        <v>47</v>
      </c>
      <c r="H55">
        <v>2021</v>
      </c>
      <c r="I55" t="s">
        <v>58</v>
      </c>
      <c r="J55" t="s">
        <v>6</v>
      </c>
      <c r="K55" t="s">
        <v>6</v>
      </c>
      <c r="L55" t="s">
        <v>167</v>
      </c>
      <c r="N55" t="s">
        <v>200</v>
      </c>
      <c r="O55" t="s">
        <v>180</v>
      </c>
      <c r="P55" t="s">
        <v>112</v>
      </c>
    </row>
    <row r="56" spans="1:17" x14ac:dyDescent="0.35">
      <c r="A56" s="2"/>
      <c r="B56" s="2"/>
      <c r="I56" s="11"/>
      <c r="J56" s="11"/>
    </row>
    <row r="57" spans="1:17" x14ac:dyDescent="0.35">
      <c r="A57" s="2"/>
      <c r="B57" s="2"/>
      <c r="I57" s="11"/>
      <c r="J57" s="11"/>
    </row>
    <row r="58" spans="1:17" x14ac:dyDescent="0.35">
      <c r="A58" s="2"/>
      <c r="B58" s="2"/>
      <c r="I58" s="11"/>
      <c r="J58" s="11"/>
    </row>
    <row r="59" spans="1:17" x14ac:dyDescent="0.35">
      <c r="J59" s="12"/>
    </row>
    <row r="60" spans="1:17" x14ac:dyDescent="0.35">
      <c r="I60" s="14"/>
    </row>
    <row r="61" spans="1:17" x14ac:dyDescent="0.35">
      <c r="A61" s="2"/>
      <c r="B61" s="2"/>
      <c r="I61" s="11"/>
      <c r="J61" s="11"/>
    </row>
    <row r="62" spans="1:17" x14ac:dyDescent="0.35">
      <c r="I62" s="14"/>
    </row>
    <row r="63" spans="1:17" x14ac:dyDescent="0.35">
      <c r="A63" s="2"/>
      <c r="B63" s="2"/>
      <c r="I63" s="11"/>
      <c r="J63" s="11"/>
    </row>
    <row r="64" spans="1:17" x14ac:dyDescent="0.35">
      <c r="I64" s="14"/>
    </row>
    <row r="65" spans="1:25" x14ac:dyDescent="0.35">
      <c r="A65" s="2"/>
      <c r="B65" s="2"/>
      <c r="I65" s="11"/>
      <c r="J65" s="11"/>
      <c r="Y65" s="7"/>
    </row>
    <row r="66" spans="1:25" x14ac:dyDescent="0.35">
      <c r="I66" s="12"/>
    </row>
    <row r="67" spans="1:25" x14ac:dyDescent="0.35">
      <c r="I67" s="12"/>
    </row>
    <row r="68" spans="1:25" x14ac:dyDescent="0.35">
      <c r="I68" s="12"/>
    </row>
    <row r="69" spans="1:25" x14ac:dyDescent="0.35">
      <c r="I69" s="13"/>
    </row>
    <row r="70" spans="1:25" x14ac:dyDescent="0.35">
      <c r="I70" s="13"/>
    </row>
    <row r="71" spans="1:25" x14ac:dyDescent="0.35">
      <c r="I71" s="13"/>
    </row>
  </sheetData>
  <sortState xmlns:xlrd2="http://schemas.microsoft.com/office/spreadsheetml/2017/richdata2" ref="A2:AB55">
    <sortCondition ref="A2:A55"/>
  </sortState>
  <conditionalFormatting sqref="K56:O1048576">
    <cfRule type="containsText" dxfId="3" priority="1" operator="containsText" text="formal">
      <formula>NOT(ISERROR(SEARCH("formal",K56)))</formula>
    </cfRule>
    <cfRule type="containsText" dxfId="2" priority="2" operator="containsText" text="de facto">
      <formula>NOT(ISERROR(SEARCH("de facto",K56)))</formula>
    </cfRule>
  </conditionalFormatting>
  <hyperlinks>
    <hyperlink ref="P55" r:id="rId1" xr:uid="{CB3E0057-FBCC-46CB-A3E3-422B9F469B5E}"/>
    <hyperlink ref="P54" r:id="rId2" xr:uid="{E32D3C8D-F22E-40A0-8652-726DB09828DE}"/>
    <hyperlink ref="P51" r:id="rId3" xr:uid="{1ABDB7C9-E141-4F80-B68B-FD08547842A6}"/>
    <hyperlink ref="P49" r:id="rId4" xr:uid="{42E1DC9A-365D-4E69-BAB5-A1866B1F8FD4}"/>
    <hyperlink ref="P48" r:id="rId5" xr:uid="{0268F064-FC4F-4257-B88B-06ED496AE7E8}"/>
    <hyperlink ref="P46" r:id="rId6" xr:uid="{E8CF05CD-D44A-4FFC-A452-951D96B87437}"/>
    <hyperlink ref="P40" r:id="rId7" xr:uid="{7E2B4772-7723-4CF0-9F60-AF9800877B03}"/>
    <hyperlink ref="P39" r:id="rId8" xr:uid="{2843CC52-AC55-44C7-8228-039DB0FD9D18}"/>
    <hyperlink ref="P38" r:id="rId9" xr:uid="{97405824-F53C-4739-BC21-6F86200DBF20}"/>
    <hyperlink ref="P37" r:id="rId10" xr:uid="{4671067D-08E6-4968-8DB9-8EF2700CB840}"/>
    <hyperlink ref="P36" r:id="rId11" xr:uid="{74DADA85-C48E-462B-AFE9-72DE7C3CE4D8}"/>
    <hyperlink ref="P31" r:id="rId12" xr:uid="{9AA17F3A-97FA-4726-B302-6748730D2621}"/>
    <hyperlink ref="P30" r:id="rId13" xr:uid="{EAEE6F7C-89EB-4C91-9545-A2F80EB1546C}"/>
    <hyperlink ref="P29" r:id="rId14" location="inclued" xr:uid="{A6437393-5A31-4D3E-B00F-039B719F7AD1}"/>
    <hyperlink ref="P28" r:id="rId15" xr:uid="{832A96AF-C5F5-43E3-81AE-0CAF9034EF83}"/>
    <hyperlink ref="P27" r:id="rId16" xr:uid="{7CEF7CE8-90CA-4211-81E5-B4566534EE45}"/>
    <hyperlink ref="P25" r:id="rId17" xr:uid="{F592E81E-0508-4402-8BEB-82841ACC4CEF}"/>
    <hyperlink ref="P24" r:id="rId18" xr:uid="{46A97D38-F817-48A4-B38A-520D5E415005}"/>
    <hyperlink ref="P23" r:id="rId19" xr:uid="{0E8D8ADC-2138-4842-AB31-B3C993DE4626}"/>
    <hyperlink ref="Q2" r:id="rId20" xr:uid="{67DA1146-8CA7-4CBD-A329-CFBA76E7C6AA}"/>
    <hyperlink ref="P5" r:id="rId21" xr:uid="{CF8CB783-D2AE-4349-83BD-285E62C197BE}"/>
    <hyperlink ref="P35" r:id="rId22" xr:uid="{980C7F7B-E7E2-4D61-A93A-18ECF1308DA3}"/>
    <hyperlink ref="Q12" r:id="rId23" xr:uid="{B03E3C05-5765-40B9-A512-5905959B2BCA}"/>
    <hyperlink ref="P50" r:id="rId24" xr:uid="{40B0B429-626A-47C8-81B1-E5A689C009CB}"/>
    <hyperlink ref="P32" r:id="rId25" xr:uid="{6268780C-B0AC-4624-937D-4AB098824EE4}"/>
    <hyperlink ref="P53" r:id="rId26" xr:uid="{9F33117D-1B3D-4666-AB55-FA58EEEA18CC}"/>
    <hyperlink ref="P52" r:id="rId27" xr:uid="{35B7D725-2388-400A-B6A2-148880F30104}"/>
    <hyperlink ref="P45" r:id="rId28" xr:uid="{82D5107C-B9B1-4C3B-AE1B-115A8C926B8E}"/>
    <hyperlink ref="P47" r:id="rId29" xr:uid="{55DF9477-D43E-4F63-878B-6D48559DC305}"/>
    <hyperlink ref="P43" r:id="rId30" xr:uid="{4AF76F02-C67C-4513-B5B4-23E25ED2273E}"/>
    <hyperlink ref="P42" r:id="rId31" xr:uid="{FECA4E47-FE5D-40DE-8935-AA70C8DBF51B}"/>
    <hyperlink ref="P11" r:id="rId32" xr:uid="{3C936E2A-C22E-4F69-A045-2F3EADFF788F}"/>
    <hyperlink ref="P41" r:id="rId33" xr:uid="{788EC0D1-8BF5-465A-83B4-DB023B4F100D}"/>
    <hyperlink ref="P34" r:id="rId34" xr:uid="{95E3296C-E08E-4FDF-8288-8BAB31A4789D}"/>
    <hyperlink ref="P26" r:id="rId35" xr:uid="{844ACF6B-15E1-4E01-8E1E-76BEFE2A74EE}"/>
    <hyperlink ref="P22" r:id="rId36" xr:uid="{754A7E49-CC01-43AD-95FE-B344805EE348}"/>
    <hyperlink ref="P21" r:id="rId37" xr:uid="{83837420-DC64-4604-934C-85F3F93D2268}"/>
    <hyperlink ref="P20" r:id="rId38" xr:uid="{11FC0AA0-9001-45EC-A17C-77A5A1E2ADA0}"/>
    <hyperlink ref="P19" r:id="rId39" xr:uid="{7CE298BA-54A3-46E0-94D2-546E84080412}"/>
    <hyperlink ref="P18" r:id="rId40" xr:uid="{3236C033-DF57-4946-80A9-045139100DC7}"/>
    <hyperlink ref="P17" r:id="rId41" xr:uid="{E742D4F6-7116-4487-9766-916D1B0D6E27}"/>
    <hyperlink ref="P16" r:id="rId42" xr:uid="{E79251A9-F928-406D-AEC7-7FB8B1ED0470}"/>
    <hyperlink ref="P15" r:id="rId43" xr:uid="{65DA1D69-DA68-4E9E-A1C8-2C540AD86B0A}"/>
    <hyperlink ref="P14" r:id="rId44" xr:uid="{79D18190-A1B0-4ED8-A34A-32969B32295D}"/>
    <hyperlink ref="P13" r:id="rId45" xr:uid="{86EFFAB6-2B75-421D-A60F-B7C4520E4A8D}"/>
    <hyperlink ref="P12" r:id="rId46" xr:uid="{A46BD488-D732-447C-BAB9-7D257B8D07BB}"/>
    <hyperlink ref="P10" r:id="rId47" xr:uid="{6C98D909-0FEB-498F-90D0-F0E9B5EC5F91}"/>
    <hyperlink ref="P9" r:id="rId48" xr:uid="{65782229-AB1B-47C9-BAED-21401C972CB8}"/>
    <hyperlink ref="P8" r:id="rId49" xr:uid="{BA9CD590-B3D3-4C79-84CD-139D27C18F54}"/>
    <hyperlink ref="P7" r:id="rId50" xr:uid="{349898C3-873B-4828-BB96-DB9DF751AEB8}"/>
    <hyperlink ref="P4" r:id="rId51" xr:uid="{2E391E77-AB6F-4AE8-9D94-7F64E6508ECD}"/>
    <hyperlink ref="P6" r:id="rId52" xr:uid="{EC62AFC0-E26C-46EA-A04E-F18566219371}"/>
    <hyperlink ref="P44" r:id="rId53" xr:uid="{5F45A6A4-FB33-4CCA-B705-FA884544A146}"/>
    <hyperlink ref="P3" r:id="rId54" xr:uid="{688092E4-DBED-4E2A-95DE-AABCB4F82A5E}"/>
    <hyperlink ref="P2" r:id="rId55" xr:uid="{C0AB40D1-58B4-47F6-B8C6-305D4B94A8F2}"/>
  </hyperlinks>
  <pageMargins left="0.7" right="0.7" top="0.75" bottom="0.75" header="0.3" footer="0.3"/>
  <pageSetup paperSize="9" orientation="portrait" r:id="rId5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Figure 1</vt:lpstr>
      <vt:lpstr>Figure 2</vt:lpstr>
      <vt:lpstr>Figure 3</vt:lpstr>
      <vt:lpstr>Figure 4</vt:lpstr>
      <vt:lpstr>Figure 5</vt:lpstr>
      <vt:lpstr>Figures_all</vt:lpstr>
      <vt:lpstr>DISs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Matteo Nebbiai</dc:creator>
  <cp:lastModifiedBy>Matteo Nebbiai</cp:lastModifiedBy>
  <cp:lastPrinted>2023-06-03T18:35:02Z</cp:lastPrinted>
  <dcterms:created xsi:type="dcterms:W3CDTF">2015-06-05T18:19:34Z</dcterms:created>
  <dcterms:modified xsi:type="dcterms:W3CDTF">2024-06-13T14:18:07Z</dcterms:modified>
</cp:coreProperties>
</file>